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3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Library/CloudStorage/GoogleDrive-varuna@mapup.ai/Shared drives/common/Hiring-Common/December-2023/Dzone-Hiring/"/>
    </mc:Choice>
  </mc:AlternateContent>
  <xr:revisionPtr revIDLastSave="203" documentId="13_ncr:1_{48EB4397-F178-E54E-B28D-22A41FCA72D2}" xr6:coauthVersionLast="47" xr6:coauthVersionMax="47" xr10:uidLastSave="{4DCC6DEE-5191-4F29-94E2-EBFB746F943C}"/>
  <bookViews>
    <workbookView xWindow="0" yWindow="500" windowWidth="29400" windowHeight="16300" tabRatio="849" firstSheet="3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Dataset!$X$2:$X$40</definedName>
    <definedName name="_xlnm._FilterDatabase" localSheetId="6" hidden="1">Task_5!$A$9:$J$18</definedName>
    <definedName name="_xlnm._FilterDatabase" localSheetId="3" hidden="1">Task_2!$H$4:$M$4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8" l="1"/>
  <c r="E30" i="18"/>
  <c r="D30" i="18"/>
  <c r="C30" i="18"/>
  <c r="B30" i="18"/>
  <c r="B29" i="18"/>
  <c r="C29" i="18"/>
  <c r="D29" i="18"/>
  <c r="E29" i="18"/>
  <c r="F29" i="18"/>
  <c r="C28" i="18"/>
  <c r="D28" i="18"/>
  <c r="E28" i="18"/>
  <c r="F28" i="18"/>
  <c r="B28" i="18"/>
  <c r="C22" i="19"/>
  <c r="C12" i="19" a="1"/>
  <c r="C12" i="19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<sst xmlns="http://schemas.openxmlformats.org/spreadsheetml/2006/main" count="409" uniqueCount="185">
  <si>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</si>
  <si>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</si>
  <si>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</si>
  <si>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</si>
  <si>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</si>
  <si>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</si>
  <si>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</si>
  <si>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</si>
  <si>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</si>
  <si>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</si>
  <si>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</si>
  <si>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</si>
  <si>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</si>
  <si>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</si>
  <si>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</si>
  <si>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</si>
  <si>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</si>
  <si>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</si>
  <si>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</si>
  <si>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</si>
  <si>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</si>
  <si>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</si>
  <si>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</si>
  <si>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</si>
  <si>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</si>
  <si>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</si>
  <si>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</si>
  <si>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</si>
  <si>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</si>
  <si>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</si>
  <si>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</si>
  <si>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</si>
  <si>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</si>
  <si>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</si>
  <si>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</si>
  <si>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</si>
  <si>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</si>
  <si>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</si>
  <si>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</si>
  <si>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</si>
  <si>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</si>
  <si>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</si>
  <si>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</si>
  <si>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</si>
  <si>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</si>
  <si>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</si>
  <si>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</si>
  <si>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</si>
  <si>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</si>
  <si>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</si>
  <si>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</si>
  <si>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</si>
  <si>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</si>
  <si>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</si>
  <si>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</si>
  <si>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</si>
  <si>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</si>
  <si>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</si>
  <si>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</si>
  <si>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</si>
  <si>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</si>
  <si>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</si>
  <si>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</si>
  <si>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</si>
  <si>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</si>
  <si>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</si>
  <si>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</si>
  <si>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</si>
  <si>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</si>
  <si>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</si>
  <si>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</si>
  <si>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</si>
  <si>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</si>
  <si>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</si>
  <si>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</si>
  <si>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</si>
  <si>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</si>
  <si>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</si>
  <si>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</si>
  <si>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</si>
  <si>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</si>
  <si>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</si>
  <si>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</si>
  <si>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</si>
  <si>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</si>
  <si>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</si>
  <si>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</si>
  <si>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</si>
  <si>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</si>
  <si>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Please paste formula used here</t>
  </si>
  <si>
    <t>I used formula of =SUMIF(H2:H40, 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</si>
  <si>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</si>
  <si>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</si>
  <si>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</si>
  <si>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</si>
  <si>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</si>
  <si>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</si>
  <si>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</si>
  <si>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</si>
  <si>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</si>
  <si>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</si>
  <si>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I use Text to Columns functionality.</t>
  </si>
  <si>
    <t>Explanation:</t>
  </si>
  <si>
    <t>First I copy the the complete column data of which I want to do seperation to the right most column. Then in the Data tab, I select Text to Columns and select seperation key because of which data will get seperate. And in this way, I seperated the data.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</si>
  <si>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</si>
  <si>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</si>
  <si>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</si>
  <si>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</si>
  <si>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</si>
  <si>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</si>
  <si>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</si>
  <si>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</si>
  <si>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</si>
  <si>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</si>
  <si>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</si>
  <si>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</si>
  <si>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</si>
  <si>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</si>
  <si>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</si>
  <si>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</si>
  <si>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</si>
  <si>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</si>
  <si>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</si>
  <si>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</si>
  <si>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</si>
  <si>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</si>
  <si>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</si>
  <si>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</si>
  <si>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</si>
  <si>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</si>
  <si>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</si>
  <si>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</si>
  <si>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</si>
  <si>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</si>
  <si>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</si>
  <si>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</si>
  <si>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</si>
  <si>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</si>
  <si>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</si>
  <si>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</si>
  <si>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</si>
  <si>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</si>
  <si>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</si>
  <si>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</si>
  <si>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</si>
  <si>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</si>
  <si>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</si>
  <si>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</si>
  <si>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</si>
  <si>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</si>
  <si>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</si>
  <si>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</si>
  <si>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</si>
  <si>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IFERROR(Range, replacing_value)</t>
  </si>
  <si>
    <t>First I copy entire column data (Sales column) to a new one. Then I remove old one. Then I select 1st cell of Sales column and apply the formula IFERROR and then it replace all the #NA by 20 as per question. Then by clicking on autosum, I get total or using SUM formula, we will get the total.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</si>
  <si>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</si>
  <si>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</si>
  <si>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</si>
  <si>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</si>
  <si>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</si>
  <si>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</si>
  <si>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</si>
  <si>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</si>
  <si>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</si>
  <si>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</si>
  <si>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</si>
  <si>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</si>
  <si>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</si>
  <si>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</si>
  <si>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INDEX</t>
  </si>
  <si>
    <t>I use Indexing for merging 2 different tables and get the comman result accordingly.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</si>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</sst>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6" borderId="0" xfId="0" applyFont="1" applyFill="1"/>
    <xf numFmtId="166" fontId="3" fillId="0" borderId="0" xfId="0" applyNumberFormat="1" applyFont="1"/>
    <xf numFmtId="0" fontId="8" fillId="6" borderId="0" xfId="0" applyFont="1" applyFill="1"/>
    <xf numFmtId="0" fontId="7" fillId="6" borderId="0" xfId="0" applyFont="1" applyFill="1"/>
    <xf numFmtId="0" fontId="7" fillId="0" borderId="12" xfId="0" applyFont="1" applyBorder="1"/>
    <xf numFmtId="0" fontId="7" fillId="2" borderId="12" xfId="0" applyFont="1" applyFill="1" applyBorder="1"/>
    <xf numFmtId="0" fontId="7" fillId="3" borderId="12" xfId="0" applyFont="1" applyFill="1" applyBorder="1"/>
    <xf numFmtId="0" fontId="3" fillId="0" borderId="12" xfId="0" applyFont="1" applyBorder="1"/>
    <xf numFmtId="0" fontId="1" fillId="6" borderId="12" xfId="0" applyFont="1" applyFill="1" applyBorder="1"/>
    <xf numFmtId="0" fontId="1" fillId="0" borderId="12" xfId="0" applyFont="1" applyBorder="1"/>
    <xf numFmtId="0" fontId="3" fillId="5" borderId="12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6"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theme="9" tint="0.59999389629810485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5"/>
      <tableStyleElement type="headerRow" dxfId="9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3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0" t="s">
        <v>6</v>
      </c>
      <c r="B9" s="21" t="s">
        <v>7</v>
      </c>
    </row>
    <row r="10" spans="1:3">
      <c r="A10" s="29" t="s">
        <v>8</v>
      </c>
      <c r="B10" s="31">
        <v>25</v>
      </c>
    </row>
    <row r="11" spans="1:3">
      <c r="A11" s="29" t="s">
        <v>9</v>
      </c>
      <c r="B11" s="31">
        <v>30</v>
      </c>
    </row>
    <row r="12" spans="1:3">
      <c r="A12" s="29" t="s">
        <v>10</v>
      </c>
      <c r="B12" s="31">
        <v>10</v>
      </c>
    </row>
    <row r="13" spans="1:3">
      <c r="A13" s="29" t="s">
        <v>11</v>
      </c>
      <c r="B13" s="31">
        <v>20</v>
      </c>
    </row>
    <row r="14" spans="1:3">
      <c r="A14" s="29" t="s">
        <v>12</v>
      </c>
      <c r="B14" s="31">
        <v>40</v>
      </c>
    </row>
    <row r="15" spans="1:3">
      <c r="A15" s="32" t="s">
        <v>13</v>
      </c>
      <c r="B15" s="20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1"/>
  <sheetViews>
    <sheetView zoomScaleNormal="100" workbookViewId="0">
      <pane ySplit="1" topLeftCell="A2" activePane="bottomLeft" state="frozen"/>
      <selection pane="bottomLeft" activeCell="S11" sqref="S11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19" customWidth="1"/>
    <col min="5" max="5" width="9.1640625" style="1" bestFit="1" customWidth="1"/>
    <col min="6" max="6" width="10.33203125" style="19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" style="1" bestFit="1" customWidth="1"/>
    <col min="25" max="16384" width="9" style="1"/>
  </cols>
  <sheetData>
    <row r="1" spans="1:25" s="3" customFormat="1" ht="14.85" customHeight="1">
      <c r="A1" s="22" t="s">
        <v>14</v>
      </c>
      <c r="B1" s="22" t="s">
        <v>15</v>
      </c>
      <c r="C1" s="22" t="s">
        <v>16</v>
      </c>
      <c r="D1" s="23" t="s">
        <v>17</v>
      </c>
      <c r="E1" s="22" t="s">
        <v>18</v>
      </c>
      <c r="F1" s="23" t="s">
        <v>19</v>
      </c>
      <c r="G1" s="24" t="s">
        <v>20</v>
      </c>
      <c r="H1" s="24" t="s">
        <v>21</v>
      </c>
      <c r="I1" s="24" t="s">
        <v>22</v>
      </c>
      <c r="J1" s="25" t="s">
        <v>23</v>
      </c>
      <c r="K1" s="25" t="s">
        <v>24</v>
      </c>
      <c r="L1" s="25" t="s">
        <v>25</v>
      </c>
      <c r="M1" s="24" t="s">
        <v>26</v>
      </c>
      <c r="N1" s="24" t="s">
        <v>27</v>
      </c>
      <c r="O1" s="24" t="s">
        <v>28</v>
      </c>
      <c r="P1" s="25" t="s">
        <v>29</v>
      </c>
      <c r="Q1" s="25" t="s">
        <v>30</v>
      </c>
      <c r="R1" s="25" t="s">
        <v>31</v>
      </c>
      <c r="S1" s="24" t="s">
        <v>32</v>
      </c>
      <c r="T1" s="24" t="s">
        <v>33</v>
      </c>
      <c r="U1" s="25" t="s">
        <v>34</v>
      </c>
      <c r="V1" s="25" t="s">
        <v>35</v>
      </c>
      <c r="W1" s="25" t="s">
        <v>36</v>
      </c>
      <c r="X1" s="3" t="s">
        <v>37</v>
      </c>
      <c r="Y1" s="3" t="s">
        <v>38</v>
      </c>
    </row>
    <row r="2" spans="1:25">
      <c r="A2" s="1" t="s">
        <v>39</v>
      </c>
      <c r="B2" s="1">
        <v>20000</v>
      </c>
      <c r="C2" s="1" t="s">
        <v>40</v>
      </c>
      <c r="D2" s="19">
        <v>0</v>
      </c>
      <c r="E2" s="1" t="s">
        <v>41</v>
      </c>
      <c r="F2" s="19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1">
        <v>45051</v>
      </c>
    </row>
    <row r="3" spans="1:25">
      <c r="A3" s="1" t="s">
        <v>42</v>
      </c>
      <c r="B3" s="1">
        <v>20002</v>
      </c>
      <c r="C3" s="1" t="s">
        <v>40</v>
      </c>
      <c r="D3" s="19">
        <v>0</v>
      </c>
      <c r="E3" s="1" t="s">
        <v>41</v>
      </c>
      <c r="F3" s="19">
        <v>0.99998842592592596</v>
      </c>
      <c r="G3" s="1">
        <v>2.7</v>
      </c>
      <c r="H3" s="1">
        <v>3.6</v>
      </c>
      <c r="I3" s="1">
        <v>4.2</v>
      </c>
      <c r="J3" s="40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1">
        <v>45048</v>
      </c>
    </row>
    <row r="4" spans="1:25">
      <c r="A4" s="1" t="s">
        <v>43</v>
      </c>
      <c r="B4" s="1">
        <v>20004</v>
      </c>
      <c r="C4" s="1" t="s">
        <v>40</v>
      </c>
      <c r="D4" s="19">
        <v>0</v>
      </c>
      <c r="E4" s="1" t="s">
        <v>41</v>
      </c>
      <c r="F4" s="19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1">
        <v>45055</v>
      </c>
    </row>
    <row r="5" spans="1:25">
      <c r="A5" s="1" t="s">
        <v>44</v>
      </c>
      <c r="B5" s="1">
        <v>20006</v>
      </c>
      <c r="C5" s="1" t="s">
        <v>40</v>
      </c>
      <c r="D5" s="19">
        <v>0</v>
      </c>
      <c r="E5" s="1" t="s">
        <v>41</v>
      </c>
      <c r="F5" s="19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1">
        <v>45059</v>
      </c>
    </row>
    <row r="6" spans="1:25">
      <c r="A6" s="1" t="s">
        <v>45</v>
      </c>
      <c r="B6" s="1">
        <v>20008</v>
      </c>
      <c r="C6" s="1" t="s">
        <v>40</v>
      </c>
      <c r="D6" s="19">
        <v>0</v>
      </c>
      <c r="E6" s="1" t="s">
        <v>41</v>
      </c>
      <c r="F6" s="19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1">
        <v>45076</v>
      </c>
    </row>
    <row r="7" spans="1:25">
      <c r="A7" s="1" t="s">
        <v>46</v>
      </c>
      <c r="B7" s="1">
        <v>20010</v>
      </c>
      <c r="C7" s="1" t="s">
        <v>40</v>
      </c>
      <c r="D7" s="19">
        <v>0</v>
      </c>
      <c r="E7" s="1" t="s">
        <v>41</v>
      </c>
      <c r="F7" s="19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1">
        <v>45057</v>
      </c>
    </row>
    <row r="8" spans="1:25">
      <c r="A8" s="1" t="s">
        <v>47</v>
      </c>
      <c r="B8" s="1">
        <v>20012</v>
      </c>
      <c r="C8" s="1" t="s">
        <v>40</v>
      </c>
      <c r="D8" s="19">
        <v>0</v>
      </c>
      <c r="E8" s="1" t="s">
        <v>41</v>
      </c>
      <c r="F8" s="19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1">
        <v>45052</v>
      </c>
    </row>
    <row r="9" spans="1:25">
      <c r="A9" s="1" t="s">
        <v>48</v>
      </c>
      <c r="B9" s="1">
        <v>20014</v>
      </c>
      <c r="C9" s="1" t="s">
        <v>40</v>
      </c>
      <c r="D9" s="19">
        <v>0</v>
      </c>
      <c r="E9" s="1" t="s">
        <v>41</v>
      </c>
      <c r="F9" s="19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1">
        <v>45098</v>
      </c>
    </row>
    <row r="10" spans="1:25">
      <c r="A10" s="1" t="s">
        <v>49</v>
      </c>
      <c r="B10" s="1">
        <v>20016</v>
      </c>
      <c r="C10" s="1" t="s">
        <v>40</v>
      </c>
      <c r="D10" s="19">
        <v>0</v>
      </c>
      <c r="E10" s="1" t="s">
        <v>41</v>
      </c>
      <c r="F10" s="19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1">
        <v>45092</v>
      </c>
    </row>
    <row r="11" spans="1:25">
      <c r="A11" s="1" t="s">
        <v>50</v>
      </c>
      <c r="B11" s="1">
        <v>20018</v>
      </c>
      <c r="C11" s="1" t="s">
        <v>40</v>
      </c>
      <c r="D11" s="19">
        <v>0</v>
      </c>
      <c r="E11" s="1" t="s">
        <v>41</v>
      </c>
      <c r="F11" s="19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1">
        <v>45104</v>
      </c>
    </row>
    <row r="12" spans="1:25">
      <c r="A12" s="1" t="s">
        <v>51</v>
      </c>
      <c r="B12" s="1">
        <v>20020</v>
      </c>
      <c r="C12" s="1" t="s">
        <v>40</v>
      </c>
      <c r="D12" s="19">
        <v>0</v>
      </c>
      <c r="E12" s="1" t="s">
        <v>41</v>
      </c>
      <c r="F12" s="19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1">
        <v>45116</v>
      </c>
    </row>
    <row r="13" spans="1:25">
      <c r="A13" s="1" t="s">
        <v>52</v>
      </c>
      <c r="B13" s="1">
        <v>20022</v>
      </c>
      <c r="C13" s="1" t="s">
        <v>40</v>
      </c>
      <c r="D13" s="19">
        <v>0</v>
      </c>
      <c r="E13" s="1" t="s">
        <v>41</v>
      </c>
      <c r="F13" s="19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1">
        <v>45110</v>
      </c>
    </row>
    <row r="14" spans="1:25">
      <c r="A14" s="1" t="s">
        <v>53</v>
      </c>
      <c r="B14" s="1">
        <v>20024</v>
      </c>
      <c r="C14" s="1" t="s">
        <v>40</v>
      </c>
      <c r="D14" s="19">
        <v>0</v>
      </c>
      <c r="E14" s="1" t="s">
        <v>41</v>
      </c>
      <c r="F14" s="19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1">
        <v>45095</v>
      </c>
    </row>
    <row r="15" spans="1:25">
      <c r="A15" s="1" t="s">
        <v>54</v>
      </c>
      <c r="B15" s="1">
        <v>20026</v>
      </c>
      <c r="C15" s="1" t="s">
        <v>40</v>
      </c>
      <c r="D15" s="19">
        <v>0</v>
      </c>
      <c r="E15" s="1" t="s">
        <v>41</v>
      </c>
      <c r="F15" s="19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1">
        <v>45113</v>
      </c>
    </row>
    <row r="16" spans="1:25">
      <c r="A16" s="1" t="s">
        <v>55</v>
      </c>
      <c r="B16" s="1">
        <v>20028</v>
      </c>
      <c r="C16" s="1" t="s">
        <v>40</v>
      </c>
      <c r="D16" s="19">
        <v>0</v>
      </c>
      <c r="E16" s="1" t="s">
        <v>41</v>
      </c>
      <c r="F16" s="19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1">
        <v>45063</v>
      </c>
    </row>
    <row r="17" spans="1:24">
      <c r="A17" s="1" t="s">
        <v>56</v>
      </c>
      <c r="B17" s="1">
        <v>20030</v>
      </c>
      <c r="C17" s="1" t="s">
        <v>40</v>
      </c>
      <c r="D17" s="19">
        <v>0</v>
      </c>
      <c r="E17" s="1" t="s">
        <v>41</v>
      </c>
      <c r="F17" s="19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1">
        <v>45071</v>
      </c>
    </row>
    <row r="18" spans="1:24">
      <c r="A18" s="1" t="s">
        <v>57</v>
      </c>
      <c r="B18" s="1">
        <v>20032</v>
      </c>
      <c r="C18" s="1" t="s">
        <v>40</v>
      </c>
      <c r="D18" s="19">
        <v>0</v>
      </c>
      <c r="E18" s="1" t="s">
        <v>41</v>
      </c>
      <c r="F18" s="19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1">
        <v>45085</v>
      </c>
    </row>
    <row r="19" spans="1:24">
      <c r="A19" s="1" t="s">
        <v>58</v>
      </c>
      <c r="B19" s="1">
        <v>20034</v>
      </c>
      <c r="C19" s="1" t="s">
        <v>40</v>
      </c>
      <c r="D19" s="19">
        <v>0</v>
      </c>
      <c r="E19" s="1" t="s">
        <v>41</v>
      </c>
      <c r="F19" s="19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1">
        <v>45099</v>
      </c>
    </row>
    <row r="20" spans="1:24">
      <c r="A20" s="1" t="s">
        <v>59</v>
      </c>
      <c r="B20" s="1">
        <v>20036</v>
      </c>
      <c r="C20" s="1" t="s">
        <v>40</v>
      </c>
      <c r="D20" s="19">
        <v>0</v>
      </c>
      <c r="E20" s="1" t="s">
        <v>41</v>
      </c>
      <c r="F20" s="19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1">
        <v>45091</v>
      </c>
    </row>
    <row r="21" spans="1:24">
      <c r="A21" s="1" t="s">
        <v>60</v>
      </c>
      <c r="B21" s="1">
        <v>20038</v>
      </c>
      <c r="C21" s="1" t="s">
        <v>40</v>
      </c>
      <c r="D21" s="19">
        <v>0</v>
      </c>
      <c r="E21" s="1" t="s">
        <v>41</v>
      </c>
      <c r="F21" s="19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1">
        <v>45079</v>
      </c>
    </row>
    <row r="22" spans="1:24">
      <c r="A22" s="1" t="s">
        <v>61</v>
      </c>
      <c r="B22" s="1">
        <v>20040</v>
      </c>
      <c r="C22" s="1" t="s">
        <v>40</v>
      </c>
      <c r="D22" s="19">
        <v>0</v>
      </c>
      <c r="E22" s="1" t="s">
        <v>41</v>
      </c>
      <c r="F22" s="19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1">
        <v>45075</v>
      </c>
    </row>
    <row r="23" spans="1:24">
      <c r="A23" s="1" t="s">
        <v>62</v>
      </c>
      <c r="B23" s="1">
        <v>20042</v>
      </c>
      <c r="C23" s="1" t="s">
        <v>40</v>
      </c>
      <c r="D23" s="19">
        <v>0</v>
      </c>
      <c r="E23" s="1" t="s">
        <v>41</v>
      </c>
      <c r="F23" s="19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1">
        <v>45110</v>
      </c>
    </row>
    <row r="24" spans="1:24">
      <c r="A24" s="1" t="s">
        <v>63</v>
      </c>
      <c r="B24" s="1">
        <v>20044</v>
      </c>
      <c r="C24" s="1" t="s">
        <v>40</v>
      </c>
      <c r="D24" s="19">
        <v>0</v>
      </c>
      <c r="E24" s="1" t="s">
        <v>41</v>
      </c>
      <c r="F24" s="19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1">
        <v>45114</v>
      </c>
    </row>
    <row r="25" spans="1:24">
      <c r="A25" s="1" t="s">
        <v>64</v>
      </c>
      <c r="B25" s="1">
        <v>20046</v>
      </c>
      <c r="C25" s="1" t="s">
        <v>40</v>
      </c>
      <c r="D25" s="19">
        <v>0</v>
      </c>
      <c r="E25" s="1" t="s">
        <v>41</v>
      </c>
      <c r="F25" s="19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1">
        <v>45118</v>
      </c>
    </row>
    <row r="26" spans="1:24">
      <c r="A26" s="1" t="s">
        <v>65</v>
      </c>
      <c r="B26" s="1">
        <v>20048</v>
      </c>
      <c r="C26" s="1" t="s">
        <v>40</v>
      </c>
      <c r="D26" s="19">
        <v>0</v>
      </c>
      <c r="E26" s="1" t="s">
        <v>41</v>
      </c>
      <c r="F26" s="19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1">
        <v>45142</v>
      </c>
    </row>
    <row r="27" spans="1:24">
      <c r="A27" s="1" t="s">
        <v>66</v>
      </c>
      <c r="B27" s="1">
        <v>20050</v>
      </c>
      <c r="C27" s="1" t="s">
        <v>40</v>
      </c>
      <c r="D27" s="19">
        <v>0</v>
      </c>
      <c r="E27" s="1" t="s">
        <v>41</v>
      </c>
      <c r="F27" s="19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1">
        <v>45146</v>
      </c>
    </row>
    <row r="28" spans="1:24">
      <c r="A28" s="1" t="s">
        <v>67</v>
      </c>
      <c r="B28" s="1">
        <v>20052</v>
      </c>
      <c r="C28" s="1" t="s">
        <v>40</v>
      </c>
      <c r="D28" s="19">
        <v>0</v>
      </c>
      <c r="E28" s="1" t="s">
        <v>41</v>
      </c>
      <c r="F28" s="19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1">
        <v>45108</v>
      </c>
    </row>
    <row r="29" spans="1:24">
      <c r="A29" s="1" t="s">
        <v>68</v>
      </c>
      <c r="B29" s="1">
        <v>20054</v>
      </c>
      <c r="C29" s="1" t="s">
        <v>40</v>
      </c>
      <c r="D29" s="19">
        <v>0</v>
      </c>
      <c r="E29" s="1" t="s">
        <v>41</v>
      </c>
      <c r="F29" s="19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1">
        <v>45153</v>
      </c>
    </row>
    <row r="30" spans="1:24">
      <c r="A30" s="1" t="s">
        <v>69</v>
      </c>
      <c r="B30" s="1">
        <v>20058</v>
      </c>
      <c r="C30" s="1" t="s">
        <v>40</v>
      </c>
      <c r="D30" s="19">
        <v>0</v>
      </c>
      <c r="E30" s="1" t="s">
        <v>41</v>
      </c>
      <c r="F30" s="19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1">
        <v>45150</v>
      </c>
    </row>
    <row r="31" spans="1:24">
      <c r="A31" s="1" t="s">
        <v>70</v>
      </c>
      <c r="B31" s="1">
        <v>20060</v>
      </c>
      <c r="C31" s="1" t="s">
        <v>40</v>
      </c>
      <c r="D31" s="19">
        <v>0</v>
      </c>
      <c r="E31" s="1" t="s">
        <v>41</v>
      </c>
      <c r="F31" s="19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1">
        <v>45157</v>
      </c>
    </row>
    <row r="32" spans="1:24">
      <c r="A32" s="1" t="s">
        <v>71</v>
      </c>
      <c r="B32" s="1">
        <v>21000</v>
      </c>
      <c r="C32" s="1" t="s">
        <v>40</v>
      </c>
      <c r="D32" s="19">
        <v>0</v>
      </c>
      <c r="E32" s="1" t="s">
        <v>41</v>
      </c>
      <c r="F32" s="19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1">
        <v>45143</v>
      </c>
    </row>
    <row r="33" spans="1:24">
      <c r="A33" s="1" t="s">
        <v>72</v>
      </c>
      <c r="B33" s="1">
        <v>21002</v>
      </c>
      <c r="C33" s="1" t="s">
        <v>40</v>
      </c>
      <c r="D33" s="19">
        <v>0</v>
      </c>
      <c r="E33" s="1" t="s">
        <v>41</v>
      </c>
      <c r="F33" s="19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1">
        <v>45166</v>
      </c>
    </row>
    <row r="34" spans="1:24">
      <c r="A34" s="1" t="s">
        <v>73</v>
      </c>
      <c r="B34" s="1">
        <v>21004</v>
      </c>
      <c r="C34" s="1" t="s">
        <v>40</v>
      </c>
      <c r="D34" s="19">
        <v>0</v>
      </c>
      <c r="E34" s="1" t="s">
        <v>41</v>
      </c>
      <c r="F34" s="19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1">
        <v>45162</v>
      </c>
    </row>
    <row r="35" spans="1:24">
      <c r="A35" s="1" t="s">
        <v>74</v>
      </c>
      <c r="B35" s="1">
        <v>21006</v>
      </c>
      <c r="C35" s="1" t="s">
        <v>40</v>
      </c>
      <c r="D35" s="19">
        <v>0</v>
      </c>
      <c r="E35" s="1" t="s">
        <v>41</v>
      </c>
      <c r="F35" s="19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1">
        <v>45160</v>
      </c>
    </row>
    <row r="36" spans="1:24">
      <c r="A36" s="1" t="s">
        <v>75</v>
      </c>
      <c r="B36" s="1">
        <v>21008</v>
      </c>
      <c r="C36" s="1" t="s">
        <v>40</v>
      </c>
      <c r="D36" s="19">
        <v>0</v>
      </c>
      <c r="E36" s="1" t="s">
        <v>41</v>
      </c>
      <c r="F36" s="19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1">
        <v>45179</v>
      </c>
    </row>
    <row r="37" spans="1:24">
      <c r="A37" s="1" t="s">
        <v>76</v>
      </c>
      <c r="B37" s="1">
        <v>21010</v>
      </c>
      <c r="C37" s="1" t="s">
        <v>40</v>
      </c>
      <c r="D37" s="19">
        <v>0</v>
      </c>
      <c r="E37" s="1" t="s">
        <v>41</v>
      </c>
      <c r="F37" s="19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1">
        <v>45157</v>
      </c>
    </row>
    <row r="38" spans="1:24">
      <c r="A38" s="1" t="s">
        <v>77</v>
      </c>
      <c r="B38" s="1">
        <v>21012</v>
      </c>
      <c r="C38" s="1" t="s">
        <v>40</v>
      </c>
      <c r="D38" s="19">
        <v>0</v>
      </c>
      <c r="E38" s="1" t="s">
        <v>41</v>
      </c>
      <c r="F38" s="19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1">
        <v>45143</v>
      </c>
    </row>
    <row r="39" spans="1:24">
      <c r="A39" s="1" t="s">
        <v>78</v>
      </c>
      <c r="B39" s="1">
        <v>21014</v>
      </c>
      <c r="C39" s="1" t="s">
        <v>40</v>
      </c>
      <c r="D39" s="19">
        <v>0</v>
      </c>
      <c r="E39" s="1" t="s">
        <v>41</v>
      </c>
      <c r="F39" s="19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1">
        <v>45166</v>
      </c>
    </row>
    <row r="40" spans="1:24">
      <c r="A40" s="1" t="s">
        <v>79</v>
      </c>
      <c r="B40" s="1">
        <v>21016</v>
      </c>
      <c r="C40" s="1" t="s">
        <v>40</v>
      </c>
      <c r="D40" s="19">
        <v>0</v>
      </c>
      <c r="E40" s="1" t="s">
        <v>41</v>
      </c>
      <c r="F40" s="19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1">
        <v>45162</v>
      </c>
    </row>
    <row r="41" spans="1:24">
      <c r="H41" s="1">
        <f>SUMIF(H2:H40, "&gt;20")</f>
        <v>1473.0000000000002</v>
      </c>
    </row>
  </sheetData>
  <conditionalFormatting sqref="A1:A1048576">
    <cfRule type="duplicateValues" dxfId="93" priority="4"/>
  </conditionalFormatting>
  <conditionalFormatting sqref="B1:B1048576">
    <cfRule type="duplicateValues" dxfId="92" priority="3"/>
  </conditionalFormatting>
  <conditionalFormatting sqref="A1:X40">
    <cfRule type="cellIs" dxfId="91" priority="2" operator="equal">
      <formula>-1</formula>
    </cfRule>
  </conditionalFormatting>
  <conditionalFormatting sqref="G2:W40">
    <cfRule type="cellIs" dxfId="9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Normal="100" workbookViewId="0">
      <selection activeCell="F6" sqref="F6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6">
      <c r="A1" s="4" t="s">
        <v>80</v>
      </c>
      <c r="B1" s="4" t="s">
        <v>81</v>
      </c>
      <c r="C1" s="4" t="s">
        <v>82</v>
      </c>
      <c r="E1" s="4" t="s">
        <v>83</v>
      </c>
    </row>
    <row r="2" spans="1:6">
      <c r="A2" s="2"/>
      <c r="B2" s="5" t="s">
        <v>84</v>
      </c>
      <c r="C2" s="2"/>
    </row>
    <row r="3" spans="1:6">
      <c r="A3" s="6">
        <v>1</v>
      </c>
      <c r="B3" s="2" t="s">
        <v>85</v>
      </c>
      <c r="C3" s="2" t="s">
        <v>86</v>
      </c>
      <c r="E3" s="1">
        <v>5</v>
      </c>
    </row>
    <row r="4" spans="1:6">
      <c r="A4" s="6">
        <v>2</v>
      </c>
      <c r="B4" s="2" t="s">
        <v>87</v>
      </c>
      <c r="C4" s="2"/>
      <c r="E4" s="1">
        <v>5</v>
      </c>
    </row>
    <row r="5" spans="1:6">
      <c r="A5" s="6">
        <v>3</v>
      </c>
      <c r="B5" s="2" t="s">
        <v>88</v>
      </c>
      <c r="C5" s="28" t="s">
        <v>89</v>
      </c>
      <c r="E5" s="1">
        <v>10</v>
      </c>
      <c r="F5" s="1" t="s">
        <v>90</v>
      </c>
    </row>
    <row r="6" spans="1:6">
      <c r="A6" s="6">
        <v>4</v>
      </c>
      <c r="B6" s="2" t="s">
        <v>91</v>
      </c>
      <c r="C6" s="2"/>
      <c r="E6" s="1">
        <v>5</v>
      </c>
    </row>
    <row r="7" spans="1:6">
      <c r="A7" s="2"/>
      <c r="B7" s="2"/>
      <c r="C7" s="2"/>
    </row>
    <row r="13" spans="1:6">
      <c r="E13" s="2"/>
    </row>
    <row r="14" spans="1:6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M43"/>
  <sheetViews>
    <sheetView zoomScaleNormal="100" workbookViewId="0">
      <selection activeCell="F30" sqref="F30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13" s="35" customFormat="1" ht="21">
      <c r="A1" s="36" t="s">
        <v>9</v>
      </c>
      <c r="B1" s="35" t="s">
        <v>92</v>
      </c>
    </row>
    <row r="2" spans="1:13" s="35" customFormat="1" ht="21">
      <c r="B2" s="35" t="s">
        <v>93</v>
      </c>
    </row>
    <row r="3" spans="1:13" ht="15">
      <c r="A3" s="1"/>
      <c r="B3" s="1"/>
      <c r="C3" s="1"/>
      <c r="D3" s="1"/>
      <c r="E3" s="1"/>
      <c r="F3" s="1"/>
      <c r="G3" s="1"/>
    </row>
    <row r="4" spans="1:13" ht="23.25">
      <c r="A4" s="17" t="s">
        <v>94</v>
      </c>
      <c r="B4" s="1"/>
      <c r="C4" s="1"/>
      <c r="D4" s="1"/>
      <c r="E4" s="1"/>
      <c r="F4" s="1"/>
      <c r="G4" s="1"/>
      <c r="H4" s="42"/>
      <c r="I4" s="43"/>
      <c r="J4" s="43"/>
      <c r="K4" s="43"/>
      <c r="L4" s="43"/>
      <c r="M4" s="43"/>
    </row>
    <row r="5" spans="1:13" ht="15">
      <c r="A5" s="44" t="s">
        <v>14</v>
      </c>
      <c r="B5" s="45" t="s">
        <v>20</v>
      </c>
      <c r="C5" s="46" t="s">
        <v>27</v>
      </c>
      <c r="D5" s="45" t="s">
        <v>31</v>
      </c>
      <c r="E5" s="46" t="s">
        <v>33</v>
      </c>
      <c r="F5" s="45" t="s">
        <v>35</v>
      </c>
      <c r="H5" s="1"/>
      <c r="I5" s="1"/>
      <c r="J5" s="1"/>
      <c r="K5" s="1"/>
      <c r="L5" s="1"/>
      <c r="M5" s="1"/>
    </row>
    <row r="6" spans="1:13" ht="15">
      <c r="A6" s="47" t="s">
        <v>43</v>
      </c>
      <c r="B6" s="47">
        <v>3.6</v>
      </c>
      <c r="C6" s="47">
        <v>11.1</v>
      </c>
      <c r="D6" s="47">
        <v>5.8</v>
      </c>
      <c r="E6" s="47">
        <v>12.2</v>
      </c>
      <c r="F6" s="47">
        <v>5.8</v>
      </c>
      <c r="H6" s="1"/>
      <c r="I6" s="1"/>
      <c r="J6" s="1"/>
      <c r="K6" s="1"/>
      <c r="L6" s="1"/>
      <c r="M6" s="1"/>
    </row>
    <row r="7" spans="1:13" ht="15">
      <c r="A7" s="47" t="s">
        <v>50</v>
      </c>
      <c r="B7" s="47">
        <v>18.399999999999999</v>
      </c>
      <c r="C7" s="47">
        <v>55.6</v>
      </c>
      <c r="D7" s="47">
        <v>33.799999999999997</v>
      </c>
      <c r="E7" s="47">
        <v>67.900000000000006</v>
      </c>
      <c r="F7" s="47">
        <v>33.799999999999997</v>
      </c>
      <c r="H7" s="1"/>
      <c r="I7" s="1"/>
      <c r="J7" s="1"/>
      <c r="K7" s="1"/>
      <c r="L7" s="1"/>
      <c r="M7" s="1"/>
    </row>
    <row r="8" spans="1:13" ht="15">
      <c r="A8" s="47" t="s">
        <v>42</v>
      </c>
      <c r="B8" s="47">
        <v>2.7</v>
      </c>
      <c r="C8" s="47">
        <v>7.6</v>
      </c>
      <c r="D8" s="47">
        <v>4.2</v>
      </c>
      <c r="E8" s="47">
        <v>8.9</v>
      </c>
      <c r="F8" s="47">
        <v>4.2</v>
      </c>
      <c r="H8" s="1"/>
      <c r="I8" s="1"/>
      <c r="J8" s="1"/>
      <c r="K8" s="1"/>
      <c r="L8" s="1"/>
      <c r="M8" s="1"/>
    </row>
    <row r="9" spans="1:13" ht="15">
      <c r="A9" s="47" t="s">
        <v>54</v>
      </c>
      <c r="B9" s="47">
        <v>26.8</v>
      </c>
      <c r="C9" s="47">
        <v>79.599999999999994</v>
      </c>
      <c r="D9" s="47">
        <v>47.9</v>
      </c>
      <c r="E9" s="47">
        <v>96.8</v>
      </c>
      <c r="F9" s="47">
        <v>47.9</v>
      </c>
      <c r="H9" s="1"/>
      <c r="I9" s="1"/>
      <c r="J9" s="1"/>
      <c r="K9" s="1"/>
      <c r="L9" s="1"/>
      <c r="M9" s="1"/>
    </row>
    <row r="10" spans="1:13" ht="15">
      <c r="A10" s="47" t="s">
        <v>47</v>
      </c>
      <c r="B10" s="47">
        <v>9.4</v>
      </c>
      <c r="C10" s="47">
        <v>28.3</v>
      </c>
      <c r="D10" s="47">
        <v>16.100000000000001</v>
      </c>
      <c r="E10" s="47">
        <v>32.799999999999997</v>
      </c>
      <c r="F10" s="47">
        <v>16.100000000000001</v>
      </c>
      <c r="H10" s="1"/>
      <c r="I10" s="1"/>
      <c r="J10" s="1"/>
      <c r="K10" s="1"/>
      <c r="L10" s="1"/>
      <c r="M10" s="1"/>
    </row>
    <row r="11" spans="1:13" ht="15">
      <c r="A11" s="47" t="s">
        <v>51</v>
      </c>
      <c r="B11" s="48">
        <v>0</v>
      </c>
      <c r="C11" s="48">
        <v>0</v>
      </c>
      <c r="D11" s="48">
        <v>0</v>
      </c>
      <c r="E11" s="48">
        <v>0</v>
      </c>
      <c r="F11" s="48">
        <v>0</v>
      </c>
      <c r="H11" s="1"/>
      <c r="I11" s="1"/>
      <c r="J11" s="1"/>
      <c r="K11" s="1"/>
      <c r="L11" s="1"/>
      <c r="M11" s="1"/>
    </row>
    <row r="12" spans="1:13" ht="15">
      <c r="A12" s="47" t="s">
        <v>65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H12" s="1"/>
      <c r="I12" s="1"/>
      <c r="J12" s="1"/>
      <c r="K12" s="1"/>
      <c r="L12" s="1"/>
      <c r="M12" s="1"/>
    </row>
    <row r="13" spans="1:13" ht="15">
      <c r="A13" s="47" t="s">
        <v>56</v>
      </c>
      <c r="B13" s="49">
        <v>28.5</v>
      </c>
      <c r="C13" s="49">
        <v>85.4</v>
      </c>
      <c r="D13" s="49">
        <v>52.3</v>
      </c>
      <c r="E13" s="49">
        <v>106.1</v>
      </c>
      <c r="F13" s="49">
        <v>52.3</v>
      </c>
      <c r="H13" s="1"/>
      <c r="I13" s="1"/>
      <c r="J13" s="1"/>
      <c r="K13" s="1"/>
      <c r="L13" s="1"/>
      <c r="M13" s="1"/>
    </row>
    <row r="14" spans="1:13" ht="15">
      <c r="A14" s="47" t="s">
        <v>58</v>
      </c>
      <c r="B14" s="49">
        <v>30.7</v>
      </c>
      <c r="C14" s="49">
        <v>92.1</v>
      </c>
      <c r="D14" s="49">
        <v>57</v>
      </c>
      <c r="E14" s="49">
        <v>115.1</v>
      </c>
      <c r="F14" s="49">
        <v>57</v>
      </c>
      <c r="H14" s="1"/>
      <c r="I14" s="1"/>
      <c r="J14" s="1"/>
      <c r="K14" s="1"/>
      <c r="L14" s="1"/>
      <c r="M14" s="1"/>
    </row>
    <row r="15" spans="1:13" ht="15">
      <c r="A15" s="47" t="s">
        <v>71</v>
      </c>
      <c r="B15" s="49">
        <v>-1</v>
      </c>
      <c r="C15" s="49">
        <v>-1</v>
      </c>
      <c r="D15" s="49">
        <v>-1</v>
      </c>
      <c r="E15" s="49">
        <v>-1</v>
      </c>
      <c r="F15" s="49">
        <v>-1</v>
      </c>
      <c r="H15" s="1"/>
      <c r="I15" s="1"/>
      <c r="J15" s="1"/>
      <c r="K15" s="1"/>
      <c r="L15" s="1"/>
      <c r="M15" s="1"/>
    </row>
    <row r="16" spans="1:13" ht="15">
      <c r="A16" s="47" t="s">
        <v>60</v>
      </c>
      <c r="B16" s="49">
        <v>34.700000000000003</v>
      </c>
      <c r="C16" s="49">
        <v>106.1</v>
      </c>
      <c r="D16" s="49">
        <v>63.6</v>
      </c>
      <c r="E16" s="49">
        <v>128.6</v>
      </c>
      <c r="F16" s="49">
        <v>63.6</v>
      </c>
      <c r="H16" s="1"/>
      <c r="I16" s="1"/>
      <c r="J16" s="1"/>
      <c r="K16" s="1"/>
      <c r="L16" s="1"/>
      <c r="M16" s="1"/>
    </row>
    <row r="17" spans="1:13" ht="15">
      <c r="A17" s="47" t="s">
        <v>70</v>
      </c>
      <c r="B17" s="49">
        <v>45</v>
      </c>
      <c r="C17" s="49">
        <v>133.4</v>
      </c>
      <c r="D17" s="49">
        <v>79.400000000000006</v>
      </c>
      <c r="E17" s="49">
        <v>160.9</v>
      </c>
      <c r="F17" s="49">
        <v>79.400000000000006</v>
      </c>
      <c r="H17" s="1"/>
      <c r="I17" s="1"/>
      <c r="J17" s="1"/>
      <c r="K17" s="1"/>
      <c r="L17" s="1"/>
      <c r="M17" s="1"/>
    </row>
    <row r="18" spans="1:13" ht="15">
      <c r="A18" s="47" t="s">
        <v>44</v>
      </c>
      <c r="B18" s="49">
        <v>4.9000000000000004</v>
      </c>
      <c r="C18" s="49">
        <v>13.3</v>
      </c>
      <c r="D18" s="49">
        <v>8.1</v>
      </c>
      <c r="E18" s="49">
        <v>17</v>
      </c>
      <c r="F18" s="49">
        <v>8.1</v>
      </c>
      <c r="H18" s="1"/>
      <c r="I18" s="1"/>
      <c r="J18" s="1"/>
      <c r="K18" s="1"/>
      <c r="L18" s="1"/>
      <c r="M18" s="1"/>
    </row>
    <row r="19" spans="1:13" ht="15">
      <c r="A19" s="47" t="s">
        <v>77</v>
      </c>
      <c r="B19" s="49">
        <v>49.1</v>
      </c>
      <c r="C19" s="49">
        <v>146.80000000000001</v>
      </c>
      <c r="D19" s="49">
        <v>90.9</v>
      </c>
      <c r="E19" s="49">
        <v>183.5</v>
      </c>
      <c r="F19" s="49">
        <v>90.9</v>
      </c>
      <c r="H19" s="1"/>
      <c r="I19" s="1"/>
      <c r="J19" s="1"/>
      <c r="K19" s="1"/>
      <c r="L19" s="1"/>
      <c r="M19" s="1"/>
    </row>
    <row r="20" spans="1:13" ht="15">
      <c r="A20" s="47" t="s">
        <v>73</v>
      </c>
      <c r="B20" s="49">
        <v>43.3</v>
      </c>
      <c r="C20" s="49">
        <v>128.6</v>
      </c>
      <c r="D20" s="49">
        <v>79.400000000000006</v>
      </c>
      <c r="E20" s="49">
        <v>160.9</v>
      </c>
      <c r="F20" s="49">
        <v>79.400000000000006</v>
      </c>
      <c r="H20" s="1"/>
      <c r="I20" s="1"/>
      <c r="J20" s="1"/>
      <c r="K20" s="1"/>
      <c r="L20" s="1"/>
      <c r="M20" s="1"/>
    </row>
    <row r="21" spans="1:13" ht="15">
      <c r="A21" s="47" t="s">
        <v>59</v>
      </c>
      <c r="B21" s="49">
        <v>33.799999999999997</v>
      </c>
      <c r="C21" s="49">
        <v>101.3</v>
      </c>
      <c r="D21" s="49">
        <v>61.4</v>
      </c>
      <c r="E21" s="49">
        <v>124.4</v>
      </c>
      <c r="F21" s="49">
        <v>61.4</v>
      </c>
      <c r="H21" s="1"/>
      <c r="I21" s="1"/>
      <c r="J21" s="1"/>
      <c r="K21" s="1"/>
      <c r="L21" s="1"/>
      <c r="M21" s="1"/>
    </row>
    <row r="22" spans="1:13" ht="15">
      <c r="A22" s="47" t="s">
        <v>48</v>
      </c>
      <c r="B22" s="49">
        <v>11.6</v>
      </c>
      <c r="C22" s="49">
        <v>35.200000000000003</v>
      </c>
      <c r="D22" s="49">
        <v>21.3</v>
      </c>
      <c r="E22" s="49">
        <v>43</v>
      </c>
      <c r="F22" s="49">
        <v>21.3</v>
      </c>
      <c r="H22" s="1"/>
      <c r="I22" s="1"/>
      <c r="J22" s="1"/>
      <c r="K22" s="1"/>
      <c r="L22" s="1"/>
      <c r="M22" s="1"/>
    </row>
    <row r="23" spans="1:13" ht="15">
      <c r="A23" s="47" t="s">
        <v>69</v>
      </c>
      <c r="B23" s="49">
        <v>-1</v>
      </c>
      <c r="C23" s="49">
        <v>-1</v>
      </c>
      <c r="D23" s="49">
        <v>-1</v>
      </c>
      <c r="E23" s="49">
        <v>-1</v>
      </c>
      <c r="F23" s="49">
        <v>-1</v>
      </c>
      <c r="H23" s="1"/>
      <c r="I23" s="1"/>
      <c r="J23" s="1"/>
      <c r="K23" s="1"/>
      <c r="L23" s="1"/>
      <c r="M23" s="1"/>
    </row>
    <row r="24" spans="1:13" ht="15">
      <c r="A24" s="47" t="s">
        <v>66</v>
      </c>
      <c r="B24" s="49">
        <v>41.3</v>
      </c>
      <c r="C24" s="49">
        <v>124.4</v>
      </c>
      <c r="D24" s="49">
        <v>75</v>
      </c>
      <c r="E24" s="49">
        <v>151.5</v>
      </c>
      <c r="F24" s="49">
        <v>75</v>
      </c>
      <c r="H24" s="1"/>
      <c r="I24" s="1"/>
      <c r="J24" s="1"/>
      <c r="K24" s="1"/>
      <c r="L24" s="1"/>
      <c r="M24" s="1"/>
    </row>
    <row r="25" spans="1:13" ht="15">
      <c r="A25" s="47" t="s">
        <v>39</v>
      </c>
      <c r="B25" s="49">
        <v>2.7</v>
      </c>
      <c r="C25" s="49">
        <v>7.6</v>
      </c>
      <c r="D25" s="49">
        <v>4.2</v>
      </c>
      <c r="E25" s="49">
        <v>8.9</v>
      </c>
      <c r="F25" s="49">
        <v>4.2</v>
      </c>
      <c r="H25" s="1"/>
      <c r="I25" s="1"/>
      <c r="J25" s="1"/>
      <c r="K25" s="1"/>
      <c r="L25" s="1"/>
      <c r="M25" s="1"/>
    </row>
    <row r="26" spans="1:13" ht="15">
      <c r="A26" s="47" t="s">
        <v>52</v>
      </c>
      <c r="B26" s="49">
        <v>21.9</v>
      </c>
      <c r="C26" s="49">
        <v>61.5</v>
      </c>
      <c r="D26" s="49">
        <v>40.1</v>
      </c>
      <c r="E26" s="49">
        <v>76.599999999999994</v>
      </c>
      <c r="F26" s="49">
        <v>40.1</v>
      </c>
      <c r="H26" s="1"/>
      <c r="I26" s="1"/>
      <c r="J26" s="1"/>
      <c r="K26" s="1"/>
      <c r="L26" s="1"/>
      <c r="M26" s="1"/>
    </row>
    <row r="27" spans="1:13" ht="15">
      <c r="A27" s="47" t="s">
        <v>79</v>
      </c>
      <c r="B27" s="49">
        <v>51.8</v>
      </c>
      <c r="C27" s="49">
        <v>156.4</v>
      </c>
      <c r="D27" s="49">
        <v>93.1</v>
      </c>
      <c r="E27" s="49">
        <v>188.1</v>
      </c>
      <c r="F27" s="49">
        <v>93.1</v>
      </c>
      <c r="H27" s="1"/>
      <c r="I27" s="1"/>
      <c r="J27" s="1"/>
      <c r="K27" s="1"/>
      <c r="L27" s="1"/>
      <c r="M27" s="1"/>
    </row>
    <row r="28" spans="1:13" ht="15">
      <c r="A28" s="44" t="s">
        <v>95</v>
      </c>
      <c r="B28" s="50">
        <f>MIN(B6:B27)</f>
        <v>-1</v>
      </c>
      <c r="C28" s="50">
        <f>MIN(C6:C27)</f>
        <v>-1</v>
      </c>
      <c r="D28" s="50">
        <f>MIN(D6:D27)</f>
        <v>-1</v>
      </c>
      <c r="E28" s="50">
        <f>MIN(E6:E27)</f>
        <v>-1</v>
      </c>
      <c r="F28" s="50">
        <f>MIN(F6:F27)</f>
        <v>-1</v>
      </c>
      <c r="H28" s="1"/>
      <c r="I28" s="1"/>
      <c r="J28" s="1"/>
      <c r="K28" s="1"/>
      <c r="L28" s="1"/>
      <c r="M28" s="1"/>
    </row>
    <row r="29" spans="1:13" ht="15">
      <c r="A29" s="44" t="s">
        <v>96</v>
      </c>
      <c r="B29" s="50">
        <f>MAX(B6:B28)</f>
        <v>51.8</v>
      </c>
      <c r="C29" s="50">
        <f>MAX(C6:C28)</f>
        <v>156.4</v>
      </c>
      <c r="D29" s="50">
        <f>MAX(D6:D28)</f>
        <v>93.1</v>
      </c>
      <c r="E29" s="50">
        <f>MAX(E6:E28)</f>
        <v>188.1</v>
      </c>
      <c r="F29" s="50">
        <f>MAX(F6:F28)</f>
        <v>93.1</v>
      </c>
      <c r="H29" s="1"/>
      <c r="I29" s="1"/>
      <c r="J29" s="1"/>
      <c r="K29" s="1"/>
      <c r="L29" s="1"/>
      <c r="M29" s="1"/>
    </row>
    <row r="30" spans="1:13" ht="15">
      <c r="A30" s="44" t="s">
        <v>97</v>
      </c>
      <c r="B30" s="50">
        <f>AVERAGE(B6:B27)</f>
        <v>20.827272727272728</v>
      </c>
      <c r="C30" s="50">
        <f>AVERAGE(C6:C27)</f>
        <v>62.377272727272725</v>
      </c>
      <c r="D30" s="50">
        <f>AVERAGE(D6:D27)</f>
        <v>37.800000000000004</v>
      </c>
      <c r="E30" s="50">
        <f>AVERAGE(E6:E27)</f>
        <v>76.418181818181822</v>
      </c>
      <c r="F30" s="50">
        <f>AVERAGE(F6:F27)</f>
        <v>37.800000000000004</v>
      </c>
      <c r="H30" s="1"/>
      <c r="I30" s="1"/>
      <c r="J30" s="1"/>
      <c r="K30" s="1"/>
      <c r="L30" s="1"/>
      <c r="M30" s="1"/>
    </row>
    <row r="31" spans="1:13" ht="15">
      <c r="H31" s="1"/>
      <c r="I31" s="1"/>
      <c r="J31" s="1"/>
      <c r="K31" s="1"/>
      <c r="L31" s="1"/>
      <c r="M31" s="1"/>
    </row>
    <row r="32" spans="1:13" ht="15">
      <c r="H32" s="1"/>
      <c r="I32" s="1"/>
      <c r="J32" s="1"/>
      <c r="K32" s="1"/>
      <c r="L32" s="1"/>
      <c r="M32" s="1"/>
    </row>
    <row r="33" spans="8:13" ht="15">
      <c r="H33" s="1"/>
      <c r="I33" s="1"/>
      <c r="J33" s="1"/>
      <c r="K33" s="1"/>
      <c r="L33" s="1"/>
      <c r="M33" s="1"/>
    </row>
    <row r="34" spans="8:13" ht="15">
      <c r="H34" s="1"/>
      <c r="I34" s="1"/>
      <c r="J34" s="1"/>
      <c r="K34" s="1"/>
      <c r="L34" s="1"/>
      <c r="M34" s="1"/>
    </row>
    <row r="35" spans="8:13" ht="15">
      <c r="H35" s="1"/>
      <c r="I35" s="1"/>
      <c r="J35" s="1"/>
      <c r="K35" s="1"/>
      <c r="L35" s="1"/>
      <c r="M35" s="1"/>
    </row>
    <row r="36" spans="8:13" ht="15">
      <c r="H36" s="1"/>
      <c r="I36" s="1"/>
      <c r="J36" s="1"/>
      <c r="K36" s="1"/>
      <c r="L36" s="1"/>
      <c r="M36" s="1"/>
    </row>
    <row r="37" spans="8:13" ht="15">
      <c r="H37" s="1"/>
      <c r="I37" s="1"/>
      <c r="J37" s="1"/>
      <c r="K37" s="1"/>
      <c r="L37" s="1"/>
      <c r="M37" s="1"/>
    </row>
    <row r="38" spans="8:13" ht="15">
      <c r="H38" s="1"/>
      <c r="I38" s="1"/>
      <c r="J38" s="1"/>
      <c r="K38" s="1"/>
      <c r="L38" s="1"/>
      <c r="M38" s="1"/>
    </row>
    <row r="39" spans="8:13" ht="15">
      <c r="H39" s="1"/>
      <c r="I39" s="1"/>
      <c r="J39" s="1"/>
      <c r="K39" s="1"/>
      <c r="L39" s="1"/>
      <c r="M39" s="1"/>
    </row>
    <row r="40" spans="8:13" ht="15">
      <c r="H40" s="1"/>
      <c r="I40" s="1"/>
      <c r="J40" s="1"/>
      <c r="K40" s="1"/>
      <c r="L40" s="1"/>
      <c r="M40" s="1"/>
    </row>
    <row r="41" spans="8:13" ht="15">
      <c r="H41" s="1"/>
      <c r="I41" s="1"/>
      <c r="J41" s="1"/>
      <c r="K41" s="1"/>
      <c r="L41" s="1"/>
      <c r="M41" s="1"/>
    </row>
    <row r="42" spans="8:13" ht="15">
      <c r="H42" s="1"/>
      <c r="I42" s="1"/>
      <c r="J42" s="1"/>
      <c r="K42" s="1"/>
      <c r="L42" s="1"/>
      <c r="M42" s="1"/>
    </row>
    <row r="43" spans="8:13" ht="15">
      <c r="H43" s="1"/>
      <c r="I43" s="1"/>
      <c r="J43" s="1"/>
      <c r="K43" s="1"/>
      <c r="L43" s="1"/>
      <c r="M43" s="1"/>
    </row>
  </sheetData>
  <sortState xmlns:xlrd2="http://schemas.microsoft.com/office/spreadsheetml/2017/richdata2" ref="A6:A27">
    <sortCondition ref="A6:A27"/>
  </sortState>
  <conditionalFormatting sqref="B6">
    <cfRule type="cellIs" dxfId="89" priority="100" operator="equal">
      <formula>-1</formula>
    </cfRule>
  </conditionalFormatting>
  <conditionalFormatting sqref="B6">
    <cfRule type="cellIs" dxfId="88" priority="99" operator="equal">
      <formula>0</formula>
    </cfRule>
  </conditionalFormatting>
  <conditionalFormatting sqref="C6">
    <cfRule type="cellIs" dxfId="87" priority="98" operator="equal">
      <formula>-1</formula>
    </cfRule>
  </conditionalFormatting>
  <conditionalFormatting sqref="C6">
    <cfRule type="cellIs" dxfId="86" priority="97" operator="equal">
      <formula>0</formula>
    </cfRule>
  </conditionalFormatting>
  <conditionalFormatting sqref="D6">
    <cfRule type="cellIs" dxfId="85" priority="96" operator="equal">
      <formula>-1</formula>
    </cfRule>
  </conditionalFormatting>
  <conditionalFormatting sqref="D6">
    <cfRule type="cellIs" dxfId="84" priority="95" operator="equal">
      <formula>0</formula>
    </cfRule>
  </conditionalFormatting>
  <conditionalFormatting sqref="E6">
    <cfRule type="cellIs" dxfId="83" priority="94" operator="equal">
      <formula>-1</formula>
    </cfRule>
  </conditionalFormatting>
  <conditionalFormatting sqref="E6">
    <cfRule type="cellIs" dxfId="82" priority="93" operator="equal">
      <formula>0</formula>
    </cfRule>
  </conditionalFormatting>
  <conditionalFormatting sqref="F6">
    <cfRule type="cellIs" dxfId="81" priority="92" operator="equal">
      <formula>-1</formula>
    </cfRule>
  </conditionalFormatting>
  <conditionalFormatting sqref="F6">
    <cfRule type="cellIs" dxfId="80" priority="91" operator="equal">
      <formula>0</formula>
    </cfRule>
  </conditionalFormatting>
  <conditionalFormatting sqref="B7:B10">
    <cfRule type="cellIs" dxfId="79" priority="90" operator="equal">
      <formula>-1</formula>
    </cfRule>
  </conditionalFormatting>
  <conditionalFormatting sqref="B7:B10">
    <cfRule type="cellIs" dxfId="78" priority="89" operator="equal">
      <formula>0</formula>
    </cfRule>
  </conditionalFormatting>
  <conditionalFormatting sqref="C7:C10">
    <cfRule type="cellIs" dxfId="77" priority="88" operator="equal">
      <formula>-1</formula>
    </cfRule>
  </conditionalFormatting>
  <conditionalFormatting sqref="C7:C10">
    <cfRule type="cellIs" dxfId="76" priority="87" operator="equal">
      <formula>0</formula>
    </cfRule>
  </conditionalFormatting>
  <conditionalFormatting sqref="D7:D10">
    <cfRule type="cellIs" dxfId="75" priority="86" operator="equal">
      <formula>-1</formula>
    </cfRule>
  </conditionalFormatting>
  <conditionalFormatting sqref="D7:D10">
    <cfRule type="cellIs" dxfId="74" priority="85" operator="equal">
      <formula>0</formula>
    </cfRule>
  </conditionalFormatting>
  <conditionalFormatting sqref="E7:E10">
    <cfRule type="cellIs" dxfId="73" priority="84" operator="equal">
      <formula>-1</formula>
    </cfRule>
  </conditionalFormatting>
  <conditionalFormatting sqref="E7:E10">
    <cfRule type="cellIs" dxfId="72" priority="83" operator="equal">
      <formula>0</formula>
    </cfRule>
  </conditionalFormatting>
  <conditionalFormatting sqref="F7:F10">
    <cfRule type="cellIs" dxfId="71" priority="82" operator="equal">
      <formula>-1</formula>
    </cfRule>
  </conditionalFormatting>
  <conditionalFormatting sqref="F7:F10">
    <cfRule type="cellIs" dxfId="70" priority="81" operator="equal">
      <formula>0</formula>
    </cfRule>
  </conditionalFormatting>
  <conditionalFormatting sqref="B13">
    <cfRule type="cellIs" dxfId="69" priority="70" operator="equal">
      <formula>-1</formula>
    </cfRule>
  </conditionalFormatting>
  <conditionalFormatting sqref="B13">
    <cfRule type="cellIs" dxfId="68" priority="69" operator="equal">
      <formula>0</formula>
    </cfRule>
  </conditionalFormatting>
  <conditionalFormatting sqref="C13">
    <cfRule type="cellIs" dxfId="67" priority="68" operator="equal">
      <formula>-1</formula>
    </cfRule>
  </conditionalFormatting>
  <conditionalFormatting sqref="C13">
    <cfRule type="cellIs" dxfId="66" priority="67" operator="equal">
      <formula>0</formula>
    </cfRule>
  </conditionalFormatting>
  <conditionalFormatting sqref="D13">
    <cfRule type="cellIs" dxfId="65" priority="66" operator="equal">
      <formula>-1</formula>
    </cfRule>
  </conditionalFormatting>
  <conditionalFormatting sqref="D13">
    <cfRule type="cellIs" dxfId="64" priority="65" operator="equal">
      <formula>0</formula>
    </cfRule>
  </conditionalFormatting>
  <conditionalFormatting sqref="E13">
    <cfRule type="cellIs" dxfId="63" priority="64" operator="equal">
      <formula>-1</formula>
    </cfRule>
  </conditionalFormatting>
  <conditionalFormatting sqref="E13">
    <cfRule type="cellIs" dxfId="62" priority="63" operator="equal">
      <formula>0</formula>
    </cfRule>
  </conditionalFormatting>
  <conditionalFormatting sqref="F13">
    <cfRule type="cellIs" dxfId="61" priority="62" operator="equal">
      <formula>-1</formula>
    </cfRule>
  </conditionalFormatting>
  <conditionalFormatting sqref="F13">
    <cfRule type="cellIs" dxfId="60" priority="61" operator="equal">
      <formula>0</formula>
    </cfRule>
  </conditionalFormatting>
  <conditionalFormatting sqref="B14">
    <cfRule type="cellIs" dxfId="59" priority="60" operator="equal">
      <formula>-1</formula>
    </cfRule>
  </conditionalFormatting>
  <conditionalFormatting sqref="B14">
    <cfRule type="cellIs" dxfId="58" priority="59" operator="equal">
      <formula>0</formula>
    </cfRule>
  </conditionalFormatting>
  <conditionalFormatting sqref="C14">
    <cfRule type="cellIs" dxfId="57" priority="58" operator="equal">
      <formula>-1</formula>
    </cfRule>
  </conditionalFormatting>
  <conditionalFormatting sqref="C14">
    <cfRule type="cellIs" dxfId="56" priority="57" operator="equal">
      <formula>0</formula>
    </cfRule>
  </conditionalFormatting>
  <conditionalFormatting sqref="D14">
    <cfRule type="cellIs" dxfId="55" priority="56" operator="equal">
      <formula>-1</formula>
    </cfRule>
  </conditionalFormatting>
  <conditionalFormatting sqref="D14">
    <cfRule type="cellIs" dxfId="54" priority="55" operator="equal">
      <formula>0</formula>
    </cfRule>
  </conditionalFormatting>
  <conditionalFormatting sqref="E14">
    <cfRule type="cellIs" dxfId="53" priority="54" operator="equal">
      <formula>-1</formula>
    </cfRule>
  </conditionalFormatting>
  <conditionalFormatting sqref="E14">
    <cfRule type="cellIs" dxfId="52" priority="53" operator="equal">
      <formula>0</formula>
    </cfRule>
  </conditionalFormatting>
  <conditionalFormatting sqref="F14">
    <cfRule type="cellIs" dxfId="51" priority="52" operator="equal">
      <formula>-1</formula>
    </cfRule>
  </conditionalFormatting>
  <conditionalFormatting sqref="F14">
    <cfRule type="cellIs" dxfId="50" priority="51" operator="equal">
      <formula>0</formula>
    </cfRule>
  </conditionalFormatting>
  <conditionalFormatting sqref="B16:B17">
    <cfRule type="cellIs" dxfId="49" priority="50" operator="equal">
      <formula>-1</formula>
    </cfRule>
  </conditionalFormatting>
  <conditionalFormatting sqref="B16:B17">
    <cfRule type="cellIs" dxfId="48" priority="49" operator="equal">
      <formula>0</formula>
    </cfRule>
  </conditionalFormatting>
  <conditionalFormatting sqref="C16:C17">
    <cfRule type="cellIs" dxfId="47" priority="48" operator="equal">
      <formula>-1</formula>
    </cfRule>
  </conditionalFormatting>
  <conditionalFormatting sqref="C16:C17">
    <cfRule type="cellIs" dxfId="46" priority="47" operator="equal">
      <formula>0</formula>
    </cfRule>
  </conditionalFormatting>
  <conditionalFormatting sqref="D16:D17">
    <cfRule type="cellIs" dxfId="45" priority="46" operator="equal">
      <formula>-1</formula>
    </cfRule>
  </conditionalFormatting>
  <conditionalFormatting sqref="D16:D17">
    <cfRule type="cellIs" dxfId="44" priority="45" operator="equal">
      <formula>0</formula>
    </cfRule>
  </conditionalFormatting>
  <conditionalFormatting sqref="E16:E17">
    <cfRule type="cellIs" dxfId="43" priority="44" operator="equal">
      <formula>-1</formula>
    </cfRule>
  </conditionalFormatting>
  <conditionalFormatting sqref="E16:E17">
    <cfRule type="cellIs" dxfId="42" priority="43" operator="equal">
      <formula>0</formula>
    </cfRule>
  </conditionalFormatting>
  <conditionalFormatting sqref="F16:F17">
    <cfRule type="cellIs" dxfId="41" priority="42" operator="equal">
      <formula>-1</formula>
    </cfRule>
  </conditionalFormatting>
  <conditionalFormatting sqref="F16:F17">
    <cfRule type="cellIs" dxfId="40" priority="41" operator="equal">
      <formula>0</formula>
    </cfRule>
  </conditionalFormatting>
  <conditionalFormatting sqref="B18:B21">
    <cfRule type="cellIs" dxfId="39" priority="40" operator="equal">
      <formula>-1</formula>
    </cfRule>
  </conditionalFormatting>
  <conditionalFormatting sqref="B18:B21">
    <cfRule type="cellIs" dxfId="38" priority="39" operator="equal">
      <formula>0</formula>
    </cfRule>
  </conditionalFormatting>
  <conditionalFormatting sqref="C18:C21">
    <cfRule type="cellIs" dxfId="37" priority="38" operator="equal">
      <formula>-1</formula>
    </cfRule>
  </conditionalFormatting>
  <conditionalFormatting sqref="C18:C21">
    <cfRule type="cellIs" dxfId="36" priority="37" operator="equal">
      <formula>0</formula>
    </cfRule>
  </conditionalFormatting>
  <conditionalFormatting sqref="D18:D21">
    <cfRule type="cellIs" dxfId="35" priority="36" operator="equal">
      <formula>-1</formula>
    </cfRule>
  </conditionalFormatting>
  <conditionalFormatting sqref="D18:D21">
    <cfRule type="cellIs" dxfId="34" priority="35" operator="equal">
      <formula>0</formula>
    </cfRule>
  </conditionalFormatting>
  <conditionalFormatting sqref="E18:E21">
    <cfRule type="cellIs" dxfId="33" priority="34" operator="equal">
      <formula>-1</formula>
    </cfRule>
  </conditionalFormatting>
  <conditionalFormatting sqref="E18:E21">
    <cfRule type="cellIs" dxfId="32" priority="33" operator="equal">
      <formula>0</formula>
    </cfRule>
  </conditionalFormatting>
  <conditionalFormatting sqref="F18:F21">
    <cfRule type="cellIs" dxfId="31" priority="32" operator="equal">
      <formula>-1</formula>
    </cfRule>
  </conditionalFormatting>
  <conditionalFormatting sqref="F18:F21">
    <cfRule type="cellIs" dxfId="30" priority="31" operator="equal">
      <formula>0</formula>
    </cfRule>
  </conditionalFormatting>
  <conditionalFormatting sqref="B22">
    <cfRule type="cellIs" dxfId="29" priority="30" operator="equal">
      <formula>-1</formula>
    </cfRule>
  </conditionalFormatting>
  <conditionalFormatting sqref="B22">
    <cfRule type="cellIs" dxfId="28" priority="29" operator="equal">
      <formula>0</formula>
    </cfRule>
  </conditionalFormatting>
  <conditionalFormatting sqref="C22">
    <cfRule type="cellIs" dxfId="27" priority="28" operator="equal">
      <formula>-1</formula>
    </cfRule>
  </conditionalFormatting>
  <conditionalFormatting sqref="C22">
    <cfRule type="cellIs" dxfId="26" priority="27" operator="equal">
      <formula>0</formula>
    </cfRule>
  </conditionalFormatting>
  <conditionalFormatting sqref="D22">
    <cfRule type="cellIs" dxfId="25" priority="26" operator="equal">
      <formula>-1</formula>
    </cfRule>
  </conditionalFormatting>
  <conditionalFormatting sqref="D22">
    <cfRule type="cellIs" dxfId="24" priority="25" operator="equal">
      <formula>0</formula>
    </cfRule>
  </conditionalFormatting>
  <conditionalFormatting sqref="E22">
    <cfRule type="cellIs" dxfId="23" priority="24" operator="equal">
      <formula>-1</formula>
    </cfRule>
  </conditionalFormatting>
  <conditionalFormatting sqref="E22">
    <cfRule type="cellIs" dxfId="22" priority="23" operator="equal">
      <formula>0</formula>
    </cfRule>
  </conditionalFormatting>
  <conditionalFormatting sqref="F22">
    <cfRule type="cellIs" dxfId="21" priority="22" operator="equal">
      <formula>-1</formula>
    </cfRule>
  </conditionalFormatting>
  <conditionalFormatting sqref="F22">
    <cfRule type="cellIs" dxfId="20" priority="21" operator="equal">
      <formula>0</formula>
    </cfRule>
  </conditionalFormatting>
  <conditionalFormatting sqref="B24:B25">
    <cfRule type="cellIs" dxfId="19" priority="20" operator="equal">
      <formula>-1</formula>
    </cfRule>
  </conditionalFormatting>
  <conditionalFormatting sqref="B24:B25">
    <cfRule type="cellIs" dxfId="18" priority="19" operator="equal">
      <formula>0</formula>
    </cfRule>
  </conditionalFormatting>
  <conditionalFormatting sqref="C24:C25">
    <cfRule type="cellIs" dxfId="17" priority="18" operator="equal">
      <formula>-1</formula>
    </cfRule>
  </conditionalFormatting>
  <conditionalFormatting sqref="C24:C25">
    <cfRule type="cellIs" dxfId="16" priority="17" operator="equal">
      <formula>0</formula>
    </cfRule>
  </conditionalFormatting>
  <conditionalFormatting sqref="D24:D25">
    <cfRule type="cellIs" dxfId="15" priority="16" operator="equal">
      <formula>-1</formula>
    </cfRule>
  </conditionalFormatting>
  <conditionalFormatting sqref="D24:D25">
    <cfRule type="cellIs" dxfId="14" priority="15" operator="equal">
      <formula>0</formula>
    </cfRule>
  </conditionalFormatting>
  <conditionalFormatting sqref="E24:E25">
    <cfRule type="cellIs" dxfId="13" priority="14" operator="equal">
      <formula>-1</formula>
    </cfRule>
  </conditionalFormatting>
  <conditionalFormatting sqref="E24:E25">
    <cfRule type="cellIs" dxfId="12" priority="13" operator="equal">
      <formula>0</formula>
    </cfRule>
  </conditionalFormatting>
  <conditionalFormatting sqref="F24:F25">
    <cfRule type="cellIs" dxfId="11" priority="12" operator="equal">
      <formula>-1</formula>
    </cfRule>
  </conditionalFormatting>
  <conditionalFormatting sqref="F24:F25">
    <cfRule type="cellIs" dxfId="10" priority="11" operator="equal">
      <formula>0</formula>
    </cfRule>
  </conditionalFormatting>
  <conditionalFormatting sqref="B26:B27">
    <cfRule type="cellIs" dxfId="9" priority="10" operator="equal">
      <formula>-1</formula>
    </cfRule>
  </conditionalFormatting>
  <conditionalFormatting sqref="B26:B27">
    <cfRule type="cellIs" dxfId="8" priority="9" operator="equal">
      <formula>0</formula>
    </cfRule>
  </conditionalFormatting>
  <conditionalFormatting sqref="C26:C27">
    <cfRule type="cellIs" dxfId="7" priority="8" operator="equal">
      <formula>-1</formula>
    </cfRule>
  </conditionalFormatting>
  <conditionalFormatting sqref="C26:C27">
    <cfRule type="cellIs" dxfId="6" priority="7" operator="equal">
      <formula>0</formula>
    </cfRule>
  </conditionalFormatting>
  <conditionalFormatting sqref="D26:D27">
    <cfRule type="cellIs" dxfId="5" priority="6" operator="equal">
      <formula>-1</formula>
    </cfRule>
  </conditionalFormatting>
  <conditionalFormatting sqref="D26:D27">
    <cfRule type="cellIs" dxfId="4" priority="5" operator="equal">
      <formula>0</formula>
    </cfRule>
  </conditionalFormatting>
  <conditionalFormatting sqref="E26:E27">
    <cfRule type="cellIs" dxfId="3" priority="4" operator="equal">
      <formula>-1</formula>
    </cfRule>
  </conditionalFormatting>
  <conditionalFormatting sqref="E26:E27">
    <cfRule type="cellIs" dxfId="2" priority="3" operator="equal">
      <formula>0</formula>
    </cfRule>
  </conditionalFormatting>
  <conditionalFormatting sqref="F26:F27">
    <cfRule type="cellIs" dxfId="1" priority="2" operator="equal">
      <formula>-1</formula>
    </cfRule>
  </conditionalFormatting>
  <conditionalFormatting sqref="F26:F27">
    <cfRule type="cellIs" dxfId="0" priority="1" operator="equal">
      <formula>0</formula>
    </cfRule>
  </conditionalFormatting>
  <dataValidations count="1">
    <dataValidation allowBlank="1" showInputMessage="1" showErrorMessage="1" sqref="H4:M43 B6:F27" xr:uid="{D704C811-22C4-4876-998E-1812FBAD75A2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10" sqref="B10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35" customFormat="1" ht="21">
      <c r="A1" s="36" t="s">
        <v>10</v>
      </c>
      <c r="B1" s="35" t="s">
        <v>98</v>
      </c>
    </row>
    <row r="2" spans="1:10" customFormat="1" ht="12.95"/>
    <row r="3" spans="1:10" s="2" customFormat="1">
      <c r="B3" s="1"/>
    </row>
    <row r="4" spans="1:10" s="2" customFormat="1">
      <c r="B4" s="1" t="s">
        <v>99</v>
      </c>
    </row>
    <row r="5" spans="1:10" ht="18.95">
      <c r="A5" s="37" t="s">
        <v>100</v>
      </c>
      <c r="B5" s="34" t="s">
        <v>101</v>
      </c>
    </row>
    <row r="6" spans="1:10" ht="18.95">
      <c r="A6" s="37" t="s">
        <v>102</v>
      </c>
      <c r="B6" s="34" t="s">
        <v>103</v>
      </c>
    </row>
    <row r="7" spans="1:10" ht="18.95">
      <c r="A7" s="37"/>
      <c r="B7" s="34"/>
    </row>
    <row r="9" spans="1:10" ht="24">
      <c r="A9" s="17" t="s">
        <v>104</v>
      </c>
      <c r="I9" s="2"/>
      <c r="J9" s="2"/>
    </row>
    <row r="10" spans="1:10">
      <c r="A10" s="27" t="s">
        <v>105</v>
      </c>
      <c r="B10" s="16" t="s">
        <v>106</v>
      </c>
      <c r="C10" s="16" t="s">
        <v>107</v>
      </c>
      <c r="D10" s="16" t="s">
        <v>108</v>
      </c>
      <c r="E10" s="16" t="s">
        <v>109</v>
      </c>
      <c r="F10" s="16" t="s">
        <v>110</v>
      </c>
      <c r="I10" s="2"/>
      <c r="J10" s="2"/>
    </row>
    <row r="11" spans="1:10">
      <c r="A11" s="8" t="s">
        <v>111</v>
      </c>
      <c r="B11" s="12">
        <v>20000</v>
      </c>
      <c r="C11" s="12" t="s">
        <v>40</v>
      </c>
      <c r="D11" s="12">
        <v>0</v>
      </c>
      <c r="E11" s="10" t="s">
        <v>41</v>
      </c>
      <c r="F11" s="10">
        <v>24</v>
      </c>
      <c r="I11" s="2"/>
      <c r="J11" s="2"/>
    </row>
    <row r="14" spans="1:10" ht="24">
      <c r="A14" s="17" t="s">
        <v>94</v>
      </c>
    </row>
    <row r="15" spans="1:10">
      <c r="A15" s="13" t="s">
        <v>112</v>
      </c>
      <c r="B15" s="16" t="s">
        <v>106</v>
      </c>
      <c r="C15" s="14" t="s">
        <v>107</v>
      </c>
      <c r="D15" s="16" t="s">
        <v>108</v>
      </c>
      <c r="E15" s="14" t="s">
        <v>109</v>
      </c>
      <c r="F15" s="16" t="s">
        <v>110</v>
      </c>
    </row>
    <row r="16" spans="1:10">
      <c r="A16" s="7" t="s">
        <v>111</v>
      </c>
      <c r="B16" s="7">
        <v>20000</v>
      </c>
      <c r="C16" s="1" t="s">
        <v>40</v>
      </c>
      <c r="D16" s="11">
        <v>0</v>
      </c>
      <c r="E16" s="1" t="s">
        <v>41</v>
      </c>
      <c r="F16" s="11">
        <v>24</v>
      </c>
    </row>
    <row r="17" spans="1:6">
      <c r="A17" s="7" t="s">
        <v>113</v>
      </c>
      <c r="B17" s="7">
        <v>20002</v>
      </c>
      <c r="C17" s="1" t="s">
        <v>40</v>
      </c>
      <c r="D17" s="11">
        <v>0</v>
      </c>
      <c r="E17" s="1" t="s">
        <v>41</v>
      </c>
      <c r="F17" s="11">
        <v>24</v>
      </c>
    </row>
    <row r="18" spans="1:6">
      <c r="A18" s="7" t="s">
        <v>114</v>
      </c>
      <c r="B18" s="7">
        <v>20004</v>
      </c>
      <c r="C18" s="1" t="s">
        <v>40</v>
      </c>
      <c r="D18" s="11">
        <v>0</v>
      </c>
      <c r="E18" s="1" t="s">
        <v>41</v>
      </c>
      <c r="F18" s="11">
        <v>24</v>
      </c>
    </row>
    <row r="19" spans="1:6">
      <c r="A19" s="7" t="s">
        <v>115</v>
      </c>
      <c r="B19" s="7">
        <v>20006</v>
      </c>
      <c r="C19" s="1" t="s">
        <v>40</v>
      </c>
      <c r="D19" s="11">
        <v>0</v>
      </c>
      <c r="E19" s="1" t="s">
        <v>41</v>
      </c>
      <c r="F19" s="11">
        <v>24</v>
      </c>
    </row>
    <row r="20" spans="1:6">
      <c r="A20" s="7" t="s">
        <v>116</v>
      </c>
      <c r="B20" s="7">
        <v>20008</v>
      </c>
      <c r="C20" s="1" t="s">
        <v>40</v>
      </c>
      <c r="D20" s="11">
        <v>0</v>
      </c>
      <c r="E20" s="1" t="s">
        <v>41</v>
      </c>
      <c r="F20" s="11">
        <v>24</v>
      </c>
    </row>
    <row r="21" spans="1:6">
      <c r="A21" s="7" t="s">
        <v>117</v>
      </c>
      <c r="B21" s="7">
        <v>20010</v>
      </c>
      <c r="C21" s="1" t="s">
        <v>40</v>
      </c>
      <c r="D21" s="11">
        <v>0</v>
      </c>
      <c r="E21" s="1" t="s">
        <v>41</v>
      </c>
      <c r="F21" s="11">
        <v>24</v>
      </c>
    </row>
    <row r="22" spans="1:6">
      <c r="A22" s="7" t="s">
        <v>118</v>
      </c>
      <c r="B22" s="7">
        <v>20012</v>
      </c>
      <c r="C22" s="1" t="s">
        <v>40</v>
      </c>
      <c r="D22" s="11">
        <v>0</v>
      </c>
      <c r="E22" s="1" t="s">
        <v>41</v>
      </c>
      <c r="F22" s="11">
        <v>24</v>
      </c>
    </row>
    <row r="23" spans="1:6">
      <c r="A23" s="7" t="s">
        <v>119</v>
      </c>
      <c r="B23" s="7">
        <v>20014</v>
      </c>
      <c r="C23" s="1" t="s">
        <v>40</v>
      </c>
      <c r="D23" s="11">
        <v>0</v>
      </c>
      <c r="E23" s="1" t="s">
        <v>41</v>
      </c>
      <c r="F23" s="11">
        <v>24</v>
      </c>
    </row>
    <row r="24" spans="1:6">
      <c r="A24" s="7" t="s">
        <v>120</v>
      </c>
      <c r="B24" s="7">
        <v>20016</v>
      </c>
      <c r="C24" s="1" t="s">
        <v>40</v>
      </c>
      <c r="D24" s="11">
        <v>0</v>
      </c>
      <c r="E24" s="1" t="s">
        <v>41</v>
      </c>
      <c r="F24" s="11">
        <v>24</v>
      </c>
    </row>
    <row r="25" spans="1:6">
      <c r="A25" s="7" t="s">
        <v>121</v>
      </c>
      <c r="B25" s="7">
        <v>20018</v>
      </c>
      <c r="C25" s="1" t="s">
        <v>40</v>
      </c>
      <c r="D25" s="11">
        <v>0</v>
      </c>
      <c r="E25" s="1" t="s">
        <v>41</v>
      </c>
      <c r="F25" s="11">
        <v>24</v>
      </c>
    </row>
    <row r="26" spans="1:6">
      <c r="A26" s="7" t="s">
        <v>122</v>
      </c>
      <c r="B26" s="7">
        <v>20020</v>
      </c>
      <c r="C26" s="1" t="s">
        <v>40</v>
      </c>
      <c r="D26" s="11">
        <v>0</v>
      </c>
      <c r="E26" s="1" t="s">
        <v>41</v>
      </c>
      <c r="F26" s="11">
        <v>24</v>
      </c>
    </row>
    <row r="27" spans="1:6">
      <c r="A27" s="7" t="s">
        <v>123</v>
      </c>
      <c r="B27" s="7">
        <v>20022</v>
      </c>
      <c r="C27" s="1" t="s">
        <v>40</v>
      </c>
      <c r="D27" s="11">
        <v>0</v>
      </c>
      <c r="E27" s="1" t="s">
        <v>41</v>
      </c>
      <c r="F27" s="11">
        <v>24</v>
      </c>
    </row>
    <row r="28" spans="1:6">
      <c r="A28" s="7" t="s">
        <v>124</v>
      </c>
      <c r="B28" s="7">
        <v>20024</v>
      </c>
      <c r="C28" s="1" t="s">
        <v>40</v>
      </c>
      <c r="D28" s="11">
        <v>0</v>
      </c>
      <c r="E28" s="1" t="s">
        <v>41</v>
      </c>
      <c r="F28" s="11">
        <v>24</v>
      </c>
    </row>
    <row r="29" spans="1:6">
      <c r="A29" s="7" t="s">
        <v>125</v>
      </c>
      <c r="B29" s="7">
        <v>20026</v>
      </c>
      <c r="C29" s="1" t="s">
        <v>40</v>
      </c>
      <c r="D29" s="11">
        <v>0</v>
      </c>
      <c r="E29" s="1" t="s">
        <v>41</v>
      </c>
      <c r="F29" s="11">
        <v>24</v>
      </c>
    </row>
    <row r="30" spans="1:6">
      <c r="A30" s="7" t="s">
        <v>126</v>
      </c>
      <c r="B30" s="7">
        <v>20028</v>
      </c>
      <c r="C30" s="1" t="s">
        <v>40</v>
      </c>
      <c r="D30" s="11">
        <v>0</v>
      </c>
      <c r="E30" s="1" t="s">
        <v>41</v>
      </c>
      <c r="F30" s="11">
        <v>24</v>
      </c>
    </row>
    <row r="31" spans="1:6">
      <c r="A31" s="7" t="s">
        <v>127</v>
      </c>
      <c r="B31" s="7">
        <v>20030</v>
      </c>
      <c r="C31" s="1" t="s">
        <v>40</v>
      </c>
      <c r="D31" s="11">
        <v>0</v>
      </c>
      <c r="E31" s="1" t="s">
        <v>41</v>
      </c>
      <c r="F31" s="11">
        <v>24</v>
      </c>
    </row>
    <row r="32" spans="1:6">
      <c r="A32" s="7" t="s">
        <v>128</v>
      </c>
      <c r="B32" s="7">
        <v>20032</v>
      </c>
      <c r="C32" s="1" t="s">
        <v>40</v>
      </c>
      <c r="D32" s="11">
        <v>0</v>
      </c>
      <c r="E32" s="1" t="s">
        <v>41</v>
      </c>
      <c r="F32" s="11">
        <v>24</v>
      </c>
    </row>
    <row r="33" spans="1:6">
      <c r="A33" s="7" t="s">
        <v>129</v>
      </c>
      <c r="B33" s="7">
        <v>20034</v>
      </c>
      <c r="C33" s="1" t="s">
        <v>40</v>
      </c>
      <c r="D33" s="11">
        <v>0</v>
      </c>
      <c r="E33" s="1" t="s">
        <v>41</v>
      </c>
      <c r="F33" s="11">
        <v>24</v>
      </c>
    </row>
    <row r="34" spans="1:6">
      <c r="A34" s="7" t="s">
        <v>130</v>
      </c>
      <c r="B34" s="7">
        <v>20036</v>
      </c>
      <c r="C34" s="1" t="s">
        <v>40</v>
      </c>
      <c r="D34" s="11">
        <v>0</v>
      </c>
      <c r="E34" s="1" t="s">
        <v>41</v>
      </c>
      <c r="F34" s="11">
        <v>24</v>
      </c>
    </row>
    <row r="35" spans="1:6">
      <c r="A35" s="7" t="s">
        <v>131</v>
      </c>
      <c r="B35" s="7">
        <v>20038</v>
      </c>
      <c r="C35" s="1" t="s">
        <v>40</v>
      </c>
      <c r="D35" s="11">
        <v>0</v>
      </c>
      <c r="E35" s="1" t="s">
        <v>41</v>
      </c>
      <c r="F35" s="11">
        <v>24</v>
      </c>
    </row>
    <row r="36" spans="1:6">
      <c r="A36" s="7" t="s">
        <v>132</v>
      </c>
      <c r="B36" s="7">
        <v>20040</v>
      </c>
      <c r="C36" s="1" t="s">
        <v>40</v>
      </c>
      <c r="D36" s="11">
        <v>0</v>
      </c>
      <c r="E36" s="1" t="s">
        <v>41</v>
      </c>
      <c r="F36" s="11">
        <v>24</v>
      </c>
    </row>
    <row r="37" spans="1:6">
      <c r="A37" s="7" t="s">
        <v>133</v>
      </c>
      <c r="B37" s="7">
        <v>20042</v>
      </c>
      <c r="C37" s="1" t="s">
        <v>40</v>
      </c>
      <c r="D37" s="11">
        <v>0</v>
      </c>
      <c r="E37" s="1" t="s">
        <v>41</v>
      </c>
      <c r="F37" s="11">
        <v>24</v>
      </c>
    </row>
    <row r="38" spans="1:6">
      <c r="A38" s="7" t="s">
        <v>134</v>
      </c>
      <c r="B38" s="7">
        <v>20044</v>
      </c>
      <c r="C38" s="1" t="s">
        <v>40</v>
      </c>
      <c r="D38" s="11">
        <v>0</v>
      </c>
      <c r="E38" s="1" t="s">
        <v>41</v>
      </c>
      <c r="F38" s="11">
        <v>24</v>
      </c>
    </row>
    <row r="39" spans="1:6">
      <c r="A39" s="7" t="s">
        <v>135</v>
      </c>
      <c r="B39" s="7">
        <v>20046</v>
      </c>
      <c r="C39" s="1" t="s">
        <v>40</v>
      </c>
      <c r="D39" s="11">
        <v>0</v>
      </c>
      <c r="E39" s="1" t="s">
        <v>41</v>
      </c>
      <c r="F39" s="11">
        <v>24</v>
      </c>
    </row>
    <row r="40" spans="1:6">
      <c r="A40" s="7" t="s">
        <v>136</v>
      </c>
      <c r="B40" s="7">
        <v>20048</v>
      </c>
      <c r="C40" s="1" t="s">
        <v>40</v>
      </c>
      <c r="D40" s="11">
        <v>0</v>
      </c>
      <c r="E40" s="1" t="s">
        <v>41</v>
      </c>
      <c r="F40" s="11">
        <v>24</v>
      </c>
    </row>
    <row r="41" spans="1:6">
      <c r="A41" s="7" t="s">
        <v>137</v>
      </c>
      <c r="B41" s="7">
        <v>20050</v>
      </c>
      <c r="C41" s="1" t="s">
        <v>40</v>
      </c>
      <c r="D41" s="11">
        <v>0</v>
      </c>
      <c r="E41" s="1" t="s">
        <v>41</v>
      </c>
      <c r="F41" s="11">
        <v>24</v>
      </c>
    </row>
    <row r="42" spans="1:6">
      <c r="A42" s="7" t="s">
        <v>138</v>
      </c>
      <c r="B42" s="7">
        <v>20052</v>
      </c>
      <c r="C42" s="1" t="s">
        <v>40</v>
      </c>
      <c r="D42" s="11">
        <v>0</v>
      </c>
      <c r="E42" s="1" t="s">
        <v>41</v>
      </c>
      <c r="F42" s="11">
        <v>24</v>
      </c>
    </row>
    <row r="43" spans="1:6">
      <c r="A43" s="7" t="s">
        <v>139</v>
      </c>
      <c r="B43" s="7">
        <v>20054</v>
      </c>
      <c r="C43" s="1" t="s">
        <v>40</v>
      </c>
      <c r="D43" s="11">
        <v>0</v>
      </c>
      <c r="E43" s="1" t="s">
        <v>41</v>
      </c>
      <c r="F43" s="11">
        <v>24</v>
      </c>
    </row>
    <row r="44" spans="1:6">
      <c r="A44" s="7" t="s">
        <v>140</v>
      </c>
      <c r="B44" s="7">
        <v>20058</v>
      </c>
      <c r="C44" s="1" t="s">
        <v>40</v>
      </c>
      <c r="D44" s="11">
        <v>0</v>
      </c>
      <c r="E44" s="1" t="s">
        <v>41</v>
      </c>
      <c r="F44" s="11">
        <v>24</v>
      </c>
    </row>
    <row r="45" spans="1:6">
      <c r="A45" s="7" t="s">
        <v>141</v>
      </c>
      <c r="B45" s="7">
        <v>20060</v>
      </c>
      <c r="C45" s="1" t="s">
        <v>40</v>
      </c>
      <c r="D45" s="11">
        <v>0</v>
      </c>
      <c r="E45" s="1" t="s">
        <v>41</v>
      </c>
      <c r="F45" s="11">
        <v>24</v>
      </c>
    </row>
    <row r="46" spans="1:6">
      <c r="A46" s="7" t="s">
        <v>142</v>
      </c>
      <c r="B46" s="7">
        <v>21000</v>
      </c>
      <c r="C46" s="1" t="s">
        <v>40</v>
      </c>
      <c r="D46" s="11">
        <v>0</v>
      </c>
      <c r="E46" s="1" t="s">
        <v>41</v>
      </c>
      <c r="F46" s="11">
        <v>24</v>
      </c>
    </row>
    <row r="47" spans="1:6">
      <c r="A47" s="7" t="s">
        <v>143</v>
      </c>
      <c r="B47" s="7">
        <v>21002</v>
      </c>
      <c r="C47" s="1" t="s">
        <v>40</v>
      </c>
      <c r="D47" s="11">
        <v>0</v>
      </c>
      <c r="E47" s="1" t="s">
        <v>41</v>
      </c>
      <c r="F47" s="11">
        <v>24</v>
      </c>
    </row>
    <row r="48" spans="1:6">
      <c r="A48" s="7" t="s">
        <v>144</v>
      </c>
      <c r="B48" s="7">
        <v>21004</v>
      </c>
      <c r="C48" s="1" t="s">
        <v>40</v>
      </c>
      <c r="D48" s="11">
        <v>0</v>
      </c>
      <c r="E48" s="1" t="s">
        <v>41</v>
      </c>
      <c r="F48" s="11">
        <v>24</v>
      </c>
    </row>
    <row r="49" spans="1:6">
      <c r="A49" s="7" t="s">
        <v>145</v>
      </c>
      <c r="B49" s="7">
        <v>21006</v>
      </c>
      <c r="C49" s="1" t="s">
        <v>40</v>
      </c>
      <c r="D49" s="11">
        <v>0</v>
      </c>
      <c r="E49" s="1" t="s">
        <v>41</v>
      </c>
      <c r="F49" s="11">
        <v>24</v>
      </c>
    </row>
    <row r="50" spans="1:6">
      <c r="A50" s="7" t="s">
        <v>146</v>
      </c>
      <c r="B50" s="7">
        <v>21008</v>
      </c>
      <c r="C50" s="1" t="s">
        <v>40</v>
      </c>
      <c r="D50" s="11">
        <v>0</v>
      </c>
      <c r="E50" s="1" t="s">
        <v>41</v>
      </c>
      <c r="F50" s="11">
        <v>24</v>
      </c>
    </row>
    <row r="51" spans="1:6">
      <c r="A51" s="7" t="s">
        <v>147</v>
      </c>
      <c r="B51" s="7">
        <v>21010</v>
      </c>
      <c r="C51" s="1" t="s">
        <v>40</v>
      </c>
      <c r="D51" s="11">
        <v>0</v>
      </c>
      <c r="E51" s="1" t="s">
        <v>41</v>
      </c>
      <c r="F51" s="11">
        <v>24</v>
      </c>
    </row>
    <row r="52" spans="1:6">
      <c r="A52" s="7" t="s">
        <v>148</v>
      </c>
      <c r="B52" s="7">
        <v>21012</v>
      </c>
      <c r="C52" s="1" t="s">
        <v>40</v>
      </c>
      <c r="D52" s="11">
        <v>0</v>
      </c>
      <c r="E52" s="1" t="s">
        <v>41</v>
      </c>
      <c r="F52" s="11">
        <v>24</v>
      </c>
    </row>
    <row r="53" spans="1:6">
      <c r="A53" s="7" t="s">
        <v>149</v>
      </c>
      <c r="B53" s="7">
        <v>21014</v>
      </c>
      <c r="C53" s="1" t="s">
        <v>40</v>
      </c>
      <c r="D53" s="11">
        <v>0</v>
      </c>
      <c r="E53" s="1" t="s">
        <v>41</v>
      </c>
      <c r="F53" s="11">
        <v>24</v>
      </c>
    </row>
    <row r="54" spans="1:6">
      <c r="A54" s="8" t="s">
        <v>150</v>
      </c>
      <c r="B54" s="8">
        <v>21016</v>
      </c>
      <c r="C54" s="9" t="s">
        <v>40</v>
      </c>
      <c r="D54" s="12">
        <v>0</v>
      </c>
      <c r="E54" s="9" t="s">
        <v>41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E22"/>
  <sheetViews>
    <sheetView zoomScaleNormal="100" workbookViewId="0">
      <selection activeCell="B7" sqref="B7"/>
    </sheetView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5" ht="21">
      <c r="A1" s="36" t="s">
        <v>11</v>
      </c>
      <c r="B1" s="35" t="s">
        <v>151</v>
      </c>
    </row>
    <row r="2" spans="1:5" ht="18.95">
      <c r="B2" s="34" t="s">
        <v>152</v>
      </c>
    </row>
    <row r="5" spans="1:5" ht="15">
      <c r="B5" s="1" t="s">
        <v>99</v>
      </c>
    </row>
    <row r="6" spans="1:5" ht="15">
      <c r="A6" s="3" t="s">
        <v>100</v>
      </c>
      <c r="B6" s="1" t="s">
        <v>153</v>
      </c>
    </row>
    <row r="7" spans="1:5" ht="15">
      <c r="A7" s="3" t="s">
        <v>102</v>
      </c>
      <c r="B7" s="1" t="s">
        <v>154</v>
      </c>
    </row>
    <row r="10" spans="1:5" ht="24">
      <c r="A10" s="17" t="s">
        <v>94</v>
      </c>
    </row>
    <row r="11" spans="1:5" ht="15">
      <c r="A11" s="26" t="s">
        <v>38</v>
      </c>
      <c r="B11" s="16" t="s">
        <v>155</v>
      </c>
      <c r="C11" s="16" t="s">
        <v>156</v>
      </c>
    </row>
    <row r="12" spans="1:5" ht="15">
      <c r="A12" s="26">
        <v>44927</v>
      </c>
      <c r="B12" s="16" t="s">
        <v>157</v>
      </c>
      <c r="C12" s="16" cm="1">
        <f t="array" ref="C12:C21">IFERROR(E12:E21, 20)</f>
        <v>200</v>
      </c>
      <c r="E12" s="16">
        <v>200</v>
      </c>
    </row>
    <row r="13" spans="1:5" ht="15">
      <c r="A13" s="26">
        <v>44928</v>
      </c>
      <c r="B13" s="16" t="s">
        <v>158</v>
      </c>
      <c r="C13" s="16">
        <v>20</v>
      </c>
      <c r="E13" s="16" t="e">
        <v>#N/A</v>
      </c>
    </row>
    <row r="14" spans="1:5" ht="15">
      <c r="A14" s="26">
        <v>44929</v>
      </c>
      <c r="B14" s="16" t="s">
        <v>159</v>
      </c>
      <c r="C14" s="16">
        <v>50</v>
      </c>
      <c r="E14" s="16">
        <v>50</v>
      </c>
    </row>
    <row r="15" spans="1:5" ht="15">
      <c r="A15" s="26">
        <v>44930</v>
      </c>
      <c r="B15" s="16" t="s">
        <v>160</v>
      </c>
      <c r="C15" s="16">
        <v>20</v>
      </c>
      <c r="E15" s="16" t="e">
        <v>#N/A</v>
      </c>
    </row>
    <row r="16" spans="1:5" ht="15">
      <c r="A16" s="26">
        <v>44931</v>
      </c>
      <c r="B16" s="16" t="s">
        <v>161</v>
      </c>
      <c r="C16" s="16">
        <v>10</v>
      </c>
      <c r="E16" s="16">
        <v>10</v>
      </c>
    </row>
    <row r="17" spans="1:5" ht="15">
      <c r="A17" s="26">
        <v>44932</v>
      </c>
      <c r="B17" s="16" t="s">
        <v>162</v>
      </c>
      <c r="C17" s="16">
        <v>150</v>
      </c>
      <c r="E17" s="16">
        <v>150</v>
      </c>
    </row>
    <row r="18" spans="1:5" ht="15">
      <c r="A18" s="26">
        <v>44933</v>
      </c>
      <c r="B18" s="16" t="s">
        <v>163</v>
      </c>
      <c r="C18" s="16">
        <v>80</v>
      </c>
      <c r="E18" s="16">
        <v>80</v>
      </c>
    </row>
    <row r="19" spans="1:5" ht="15">
      <c r="A19" s="26">
        <v>44934</v>
      </c>
      <c r="B19" s="16" t="s">
        <v>164</v>
      </c>
      <c r="C19" s="16">
        <v>20</v>
      </c>
      <c r="E19" s="16" t="e">
        <v>#N/A</v>
      </c>
    </row>
    <row r="20" spans="1:5" ht="15">
      <c r="A20" s="26">
        <v>44935</v>
      </c>
      <c r="B20" s="16" t="s">
        <v>165</v>
      </c>
      <c r="C20" s="16">
        <v>30</v>
      </c>
      <c r="E20" s="16">
        <v>30</v>
      </c>
    </row>
    <row r="21" spans="1:5" ht="15">
      <c r="A21" s="26">
        <v>44936</v>
      </c>
      <c r="B21" s="16" t="s">
        <v>166</v>
      </c>
      <c r="C21" s="16">
        <v>20</v>
      </c>
      <c r="E21" s="16" t="e">
        <v>#N/A</v>
      </c>
    </row>
    <row r="22" spans="1:5" ht="15">
      <c r="B22" s="16" t="s">
        <v>167</v>
      </c>
      <c r="C22" s="20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36" t="s">
        <v>12</v>
      </c>
      <c r="B1" s="35" t="s">
        <v>168</v>
      </c>
    </row>
    <row r="3" spans="1:14" ht="15">
      <c r="B3" s="1" t="s">
        <v>99</v>
      </c>
    </row>
    <row r="4" spans="1:14" ht="18.95">
      <c r="A4" s="37" t="s">
        <v>100</v>
      </c>
      <c r="B4" s="1"/>
      <c r="C4" s="2" t="s">
        <v>169</v>
      </c>
    </row>
    <row r="5" spans="1:14" ht="18.95">
      <c r="A5" s="37" t="s">
        <v>102</v>
      </c>
      <c r="B5" s="1"/>
      <c r="C5" s="2" t="s">
        <v>170</v>
      </c>
    </row>
    <row r="6" spans="1:14" ht="15">
      <c r="A6" s="3"/>
      <c r="B6" s="1"/>
    </row>
    <row r="8" spans="1:14" ht="24">
      <c r="A8" s="17" t="s">
        <v>94</v>
      </c>
      <c r="M8" s="17" t="s">
        <v>171</v>
      </c>
    </row>
    <row r="9" spans="1:14" ht="15">
      <c r="A9" s="21"/>
      <c r="B9" s="21" t="s">
        <v>172</v>
      </c>
      <c r="C9" s="21" t="s">
        <v>173</v>
      </c>
      <c r="D9" s="21" t="s">
        <v>174</v>
      </c>
      <c r="E9" s="21" t="s">
        <v>175</v>
      </c>
      <c r="F9" s="21" t="s">
        <v>176</v>
      </c>
      <c r="G9" s="21" t="s">
        <v>177</v>
      </c>
      <c r="H9" s="21" t="s">
        <v>178</v>
      </c>
      <c r="I9" s="21" t="s">
        <v>179</v>
      </c>
      <c r="J9" s="21" t="s">
        <v>180</v>
      </c>
      <c r="M9" s="18" t="s">
        <v>15</v>
      </c>
      <c r="N9" s="18" t="s">
        <v>181</v>
      </c>
    </row>
    <row r="10" spans="1:14" ht="15">
      <c r="A10" s="21" t="s">
        <v>172</v>
      </c>
      <c r="B10" s="20">
        <v>-1</v>
      </c>
      <c r="C10" s="20">
        <v>95</v>
      </c>
      <c r="D10" s="20">
        <v>-1</v>
      </c>
      <c r="E10" s="20">
        <v>185</v>
      </c>
      <c r="F10" s="20">
        <v>255</v>
      </c>
      <c r="G10" s="20">
        <v>305</v>
      </c>
      <c r="H10" s="20">
        <v>415</v>
      </c>
      <c r="I10" s="20">
        <v>480</v>
      </c>
      <c r="J10" s="20">
        <v>525</v>
      </c>
      <c r="M10" s="11">
        <v>10100</v>
      </c>
      <c r="N10" s="11" t="s">
        <v>172</v>
      </c>
    </row>
    <row r="11" spans="1:14" ht="15">
      <c r="A11" s="21" t="s">
        <v>173</v>
      </c>
      <c r="B11" s="20">
        <v>95</v>
      </c>
      <c r="C11" s="20">
        <v>-1</v>
      </c>
      <c r="D11" s="20">
        <v>-1</v>
      </c>
      <c r="E11" s="20">
        <v>90</v>
      </c>
      <c r="F11" s="20">
        <v>160</v>
      </c>
      <c r="G11" s="20">
        <v>210</v>
      </c>
      <c r="H11" s="20">
        <v>325</v>
      </c>
      <c r="I11" s="20">
        <v>390</v>
      </c>
      <c r="J11" s="20">
        <v>430</v>
      </c>
      <c r="M11" s="11">
        <v>10102</v>
      </c>
      <c r="N11" s="11" t="s">
        <v>173</v>
      </c>
    </row>
    <row r="12" spans="1:14" ht="15">
      <c r="A12" s="21" t="s">
        <v>174</v>
      </c>
      <c r="B12" s="20">
        <v>-1</v>
      </c>
      <c r="C12" s="20">
        <v>-1</v>
      </c>
      <c r="D12" s="20">
        <v>-1</v>
      </c>
      <c r="E12" s="20">
        <v>60</v>
      </c>
      <c r="F12" s="20">
        <v>130</v>
      </c>
      <c r="G12" s="20">
        <v>180</v>
      </c>
      <c r="H12" s="20">
        <v>295</v>
      </c>
      <c r="I12" s="20">
        <v>355</v>
      </c>
      <c r="J12" s="20">
        <v>400</v>
      </c>
      <c r="M12" s="11">
        <v>10104</v>
      </c>
      <c r="N12" s="11" t="s">
        <v>174</v>
      </c>
    </row>
    <row r="13" spans="1:14" ht="15">
      <c r="A13" s="21" t="s">
        <v>175</v>
      </c>
      <c r="B13" s="20">
        <v>185</v>
      </c>
      <c r="C13" s="20">
        <v>90</v>
      </c>
      <c r="D13" s="20">
        <v>60</v>
      </c>
      <c r="E13" s="20">
        <v>-1</v>
      </c>
      <c r="F13" s="20">
        <v>70</v>
      </c>
      <c r="G13" s="20">
        <v>120</v>
      </c>
      <c r="H13" s="20">
        <v>235</v>
      </c>
      <c r="I13" s="20">
        <v>300</v>
      </c>
      <c r="J13" s="20">
        <v>340</v>
      </c>
      <c r="M13" s="11">
        <v>10106</v>
      </c>
      <c r="N13" s="11" t="s">
        <v>175</v>
      </c>
    </row>
    <row r="14" spans="1:14" ht="15">
      <c r="A14" s="21" t="s">
        <v>176</v>
      </c>
      <c r="B14" s="20">
        <v>255</v>
      </c>
      <c r="C14" s="20">
        <v>160</v>
      </c>
      <c r="D14" s="20">
        <v>130</v>
      </c>
      <c r="E14" s="20">
        <v>70</v>
      </c>
      <c r="F14" s="20">
        <v>-1</v>
      </c>
      <c r="G14" s="20">
        <v>50</v>
      </c>
      <c r="H14" s="20">
        <v>165</v>
      </c>
      <c r="I14" s="20">
        <v>230</v>
      </c>
      <c r="J14" s="20">
        <v>270</v>
      </c>
      <c r="M14" s="11">
        <v>10108</v>
      </c>
      <c r="N14" s="11" t="s">
        <v>176</v>
      </c>
    </row>
    <row r="15" spans="1:14" ht="15">
      <c r="A15" s="21" t="s">
        <v>177</v>
      </c>
      <c r="B15" s="20">
        <v>305</v>
      </c>
      <c r="C15" s="20">
        <v>210</v>
      </c>
      <c r="D15" s="20">
        <v>180</v>
      </c>
      <c r="E15" s="20">
        <v>120</v>
      </c>
      <c r="F15" s="20">
        <v>50</v>
      </c>
      <c r="G15" s="20">
        <v>-1</v>
      </c>
      <c r="H15" s="20">
        <v>115</v>
      </c>
      <c r="I15" s="20">
        <v>180</v>
      </c>
      <c r="J15" s="20">
        <v>220</v>
      </c>
      <c r="M15" s="11">
        <v>10110</v>
      </c>
      <c r="N15" s="11" t="s">
        <v>177</v>
      </c>
    </row>
    <row r="16" spans="1:14" ht="15">
      <c r="A16" s="21" t="s">
        <v>178</v>
      </c>
      <c r="B16" s="20">
        <v>415</v>
      </c>
      <c r="C16" s="20">
        <v>325</v>
      </c>
      <c r="D16" s="20">
        <v>295</v>
      </c>
      <c r="E16" s="20">
        <v>235</v>
      </c>
      <c r="F16" s="20">
        <v>165</v>
      </c>
      <c r="G16" s="20">
        <v>115</v>
      </c>
      <c r="H16" s="20">
        <v>-1</v>
      </c>
      <c r="I16" s="20">
        <v>65</v>
      </c>
      <c r="J16" s="20">
        <v>105</v>
      </c>
      <c r="M16" s="11">
        <v>10112</v>
      </c>
      <c r="N16" s="11" t="s">
        <v>178</v>
      </c>
    </row>
    <row r="17" spans="1:14" ht="15">
      <c r="A17" s="21" t="s">
        <v>179</v>
      </c>
      <c r="B17" s="20">
        <v>480</v>
      </c>
      <c r="C17" s="20">
        <v>390</v>
      </c>
      <c r="D17" s="20">
        <v>355</v>
      </c>
      <c r="E17" s="20">
        <v>300</v>
      </c>
      <c r="F17" s="20">
        <v>230</v>
      </c>
      <c r="G17" s="20">
        <v>180</v>
      </c>
      <c r="H17" s="20">
        <v>65</v>
      </c>
      <c r="I17" s="20">
        <v>-1</v>
      </c>
      <c r="J17" s="20">
        <v>40</v>
      </c>
      <c r="M17" s="11">
        <v>10114</v>
      </c>
      <c r="N17" s="11" t="s">
        <v>179</v>
      </c>
    </row>
    <row r="18" spans="1:14" ht="15">
      <c r="A18" s="21" t="s">
        <v>180</v>
      </c>
      <c r="B18" s="20">
        <v>525</v>
      </c>
      <c r="C18" s="20">
        <v>430</v>
      </c>
      <c r="D18" s="20">
        <v>400</v>
      </c>
      <c r="E18" s="20">
        <v>340</v>
      </c>
      <c r="F18" s="20">
        <v>270</v>
      </c>
      <c r="G18" s="20">
        <v>220</v>
      </c>
      <c r="H18" s="20">
        <v>105</v>
      </c>
      <c r="I18" s="20">
        <v>40</v>
      </c>
      <c r="J18" s="20">
        <v>-1</v>
      </c>
      <c r="M18" s="12">
        <v>10116</v>
      </c>
      <c r="N18" s="12" t="s">
        <v>180</v>
      </c>
    </row>
    <row r="21" spans="1:14" ht="24">
      <c r="A21" s="17" t="s">
        <v>182</v>
      </c>
    </row>
    <row r="22" spans="1:14" ht="15">
      <c r="A22" s="13" t="s">
        <v>183</v>
      </c>
      <c r="B22" s="16" t="s">
        <v>184</v>
      </c>
      <c r="C22" s="15" t="s">
        <v>105</v>
      </c>
    </row>
    <row r="23" spans="1:14" ht="15">
      <c r="A23" s="7">
        <v>10100</v>
      </c>
      <c r="B23" s="11">
        <v>10102</v>
      </c>
      <c r="C23" s="38">
        <v>95</v>
      </c>
    </row>
    <row r="24" spans="1:14" ht="15">
      <c r="A24" s="7">
        <v>10100</v>
      </c>
      <c r="B24" s="11">
        <v>10104</v>
      </c>
      <c r="C24" s="38">
        <v>-1</v>
      </c>
    </row>
    <row r="25" spans="1:14" ht="15">
      <c r="A25" s="7">
        <v>10108</v>
      </c>
      <c r="B25" s="11">
        <v>10102</v>
      </c>
      <c r="C25" s="38">
        <v>160</v>
      </c>
    </row>
    <row r="26" spans="1:14" ht="15">
      <c r="A26" s="7">
        <v>10100</v>
      </c>
      <c r="B26" s="11">
        <v>10106</v>
      </c>
      <c r="C26" s="38">
        <v>185</v>
      </c>
    </row>
    <row r="27" spans="1:14" ht="15">
      <c r="A27" s="7">
        <v>10108</v>
      </c>
      <c r="B27" s="11">
        <v>10110</v>
      </c>
      <c r="C27" s="38">
        <v>50</v>
      </c>
    </row>
    <row r="28" spans="1:14" ht="15">
      <c r="A28" s="7">
        <v>10102</v>
      </c>
      <c r="B28" s="11">
        <v>10104</v>
      </c>
      <c r="C28" s="38">
        <v>-1</v>
      </c>
    </row>
    <row r="29" spans="1:14" ht="15">
      <c r="A29" s="7">
        <v>10106</v>
      </c>
      <c r="B29" s="11">
        <v>10108</v>
      </c>
      <c r="C29" s="38">
        <v>70</v>
      </c>
    </row>
    <row r="30" spans="1:14" ht="15">
      <c r="A30" s="7">
        <v>10102</v>
      </c>
      <c r="B30" s="11">
        <v>10106</v>
      </c>
      <c r="C30" s="38">
        <v>90</v>
      </c>
    </row>
    <row r="31" spans="1:14" ht="15">
      <c r="A31" s="7">
        <v>10110</v>
      </c>
      <c r="B31" s="11">
        <v>10114</v>
      </c>
      <c r="C31" s="38">
        <v>180</v>
      </c>
    </row>
    <row r="32" spans="1:14" ht="15">
      <c r="A32" s="7">
        <v>10104</v>
      </c>
      <c r="B32" s="11">
        <v>10106</v>
      </c>
      <c r="C32" s="38">
        <v>60</v>
      </c>
    </row>
    <row r="33" spans="1:3" ht="15">
      <c r="A33" s="7">
        <v>10110</v>
      </c>
      <c r="B33" s="11">
        <v>10112</v>
      </c>
      <c r="C33" s="38">
        <v>115</v>
      </c>
    </row>
    <row r="34" spans="1:3" ht="15">
      <c r="A34" s="7">
        <v>10100</v>
      </c>
      <c r="B34" s="11">
        <v>10114</v>
      </c>
      <c r="C34" s="38">
        <v>480</v>
      </c>
    </row>
    <row r="35" spans="1:3" ht="15">
      <c r="A35" s="8">
        <v>10112</v>
      </c>
      <c r="B35" s="12">
        <v>10116</v>
      </c>
      <c r="C35" s="39">
        <v>105</v>
      </c>
    </row>
  </sheetData>
  <dataValidations count="1">
    <dataValidation allowBlank="1" showInputMessage="1" showErrorMessage="1" sqref="A9:J18" xr:uid="{B337917E-F25E-4D30-8B1B-5D5F3F624E94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>Pratik Vaidya</cp:lastModifiedBy>
  <cp:revision/>
  <dcterms:created xsi:type="dcterms:W3CDTF">2015-02-10T17:33:11Z</dcterms:created>
  <dcterms:modified xsi:type="dcterms:W3CDTF">2023-12-10T07:48:23Z</dcterms:modified>
  <cp:category/>
  <cp:contentStatus/>
</cp:coreProperties>
</file>